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ate1904="1"/>
  <mc:AlternateContent xmlns:mc="http://schemas.openxmlformats.org/markup-compatibility/2006">
    <mc:Choice Requires="x15">
      <x15ac:absPath xmlns:x15ac="http://schemas.microsoft.com/office/spreadsheetml/2010/11/ac" url="/Users/lauren/Dropbox/External Collaborations/Tony Artino/altmetrics/RCT/"/>
    </mc:Choice>
  </mc:AlternateContent>
  <xr:revisionPtr revIDLastSave="0" documentId="13_ncr:1_{635C1CEE-DCD4-1F42-8D56-2AD1E60149AF}" xr6:coauthVersionLast="36" xr6:coauthVersionMax="36" xr10:uidLastSave="{00000000-0000-0000-0000-000000000000}"/>
  <bookViews>
    <workbookView xWindow="2400" yWindow="460" windowWidth="25000" windowHeight="14400" activeTab="1" xr2:uid="{00000000-000D-0000-FFFF-FFFF00000000}"/>
  </bookViews>
  <sheets>
    <sheet name="data" sheetId="2" r:id="rId1"/>
    <sheet name="Sums" sheetId="3" r:id="rId2"/>
  </sheets>
  <definedNames>
    <definedName name="_xlnm._FilterDatabase" localSheetId="0" hidden="1">data!$A$1:$I$159</definedName>
  </definedNames>
  <calcPr calcId="181029"/>
  <pivotCaches>
    <pivotCache cacheId="0" r:id="rId3"/>
  </pivotCaches>
</workbook>
</file>

<file path=xl/calcChain.xml><?xml version="1.0" encoding="utf-8"?>
<calcChain xmlns="http://schemas.openxmlformats.org/spreadsheetml/2006/main">
  <c r="L159" i="2" l="1"/>
</calcChain>
</file>

<file path=xl/sharedStrings.xml><?xml version="1.0" encoding="utf-8"?>
<sst xmlns="http://schemas.openxmlformats.org/spreadsheetml/2006/main" count="175" uniqueCount="173">
  <si>
    <t>Unique Visitors</t>
  </si>
  <si>
    <t>DOI (v31)</t>
  </si>
  <si>
    <t>Visits Trends</t>
  </si>
  <si>
    <t>Page View Trend</t>
  </si>
  <si>
    <t>HTML Full Text View (e42)</t>
  </si>
  <si>
    <t>Full Text Views (e44)</t>
  </si>
  <si>
    <t>PDF Full Text View (e53)</t>
  </si>
  <si>
    <t>10.1097/ACM.0000000000000682</t>
  </si>
  <si>
    <t>10.1097/ACM.0000000000000646</t>
  </si>
  <si>
    <t>10.1097/ACM.0000000000000809</t>
  </si>
  <si>
    <t>10.1097/ACM.0000000000000449</t>
  </si>
  <si>
    <t>10.1097/ACM.0000000000000680</t>
  </si>
  <si>
    <t>10.1097/ACM.0000000000000564</t>
  </si>
  <si>
    <t>10.1097/ACM.0000000000000734</t>
  </si>
  <si>
    <t>10.1097/ACM.0000000000000714</t>
  </si>
  <si>
    <t>10.1097/ACM.0000000000000842</t>
  </si>
  <si>
    <t>10.1097/ACM.0000000000000725</t>
  </si>
  <si>
    <t>10.1097/ACM.0000000000000939</t>
  </si>
  <si>
    <t>10.1097/ACM.0000000000000860</t>
  </si>
  <si>
    <t>10.1097/ACM.0000000000000700</t>
  </si>
  <si>
    <t>10.1097/ACM.0000000000000610</t>
  </si>
  <si>
    <t>10.1097/ACM.0000000000000586</t>
  </si>
  <si>
    <t>10.1097/ACM.0000000000000715</t>
  </si>
  <si>
    <t>10.1097/ACM.0000000000000522</t>
  </si>
  <si>
    <t>10.1097/ACM.0000000000000619</t>
  </si>
  <si>
    <t>10.1097/ACM.0000000000000655</t>
  </si>
  <si>
    <t>10.1097/ACM.0000000000000525</t>
  </si>
  <si>
    <t>10.1097/ACM.0000000000000446</t>
  </si>
  <si>
    <t>10.1097/ACM.0000000000000934</t>
  </si>
  <si>
    <t>10.1097/ACM.0000000000000529</t>
  </si>
  <si>
    <t>10.1097/ACM.0000000000000560</t>
  </si>
  <si>
    <t>10.1097/ACM.0000000000000603</t>
  </si>
  <si>
    <t>10.1097/ACM.0000000000000786</t>
  </si>
  <si>
    <t>10.1097/ACM.0000000000000743</t>
  </si>
  <si>
    <t>10.1097/ACM.0000000000000718</t>
  </si>
  <si>
    <t>10.1097/ACM.0000000000000465</t>
  </si>
  <si>
    <t>10.1097/ACM.0000000000000960</t>
  </si>
  <si>
    <t>10.1097/ACM.0000000000000592</t>
  </si>
  <si>
    <t>10.1097/ACM.0000000000000657</t>
  </si>
  <si>
    <t>10.1097/ACM.0000000000000811</t>
  </si>
  <si>
    <t>10.1097/ACM.0000000000000594</t>
  </si>
  <si>
    <t>10.1097/ACM.0000000000000703</t>
  </si>
  <si>
    <t>10.1097/ACM.0000000000000921</t>
  </si>
  <si>
    <t>10.1097/ACM.0000000000000841</t>
  </si>
  <si>
    <t>10.1097/ACM.0000000000000803</t>
  </si>
  <si>
    <t>10.1097/ACM.0000000000000801</t>
  </si>
  <si>
    <t>10.1097/ACM.0000000000000591</t>
  </si>
  <si>
    <t>10.1097/ACM.0000000000000499</t>
  </si>
  <si>
    <t>10.1097/ACM.0000000000000611</t>
  </si>
  <si>
    <t>10.1097/ACM.0000000000000685</t>
  </si>
  <si>
    <t>10.1097/ACM.0000000000000806</t>
  </si>
  <si>
    <t>10.1097/ACM.0000000000000604</t>
  </si>
  <si>
    <t>10.1097/ACM.0000000000000822</t>
  </si>
  <si>
    <t>10.1097/ACM.0000000000000521</t>
  </si>
  <si>
    <t>10.1097/ACM.0000000000000506</t>
  </si>
  <si>
    <t>10.1097/ACM.0000000000000467</t>
  </si>
  <si>
    <t>10.1097/ACM.0000000000000669</t>
  </si>
  <si>
    <t>10.1097/ACM.0000000000000552</t>
  </si>
  <si>
    <t>10.1097/ACM.0000000000000616</t>
  </si>
  <si>
    <t>10.1097/ACM.0000000000000649</t>
  </si>
  <si>
    <t>10.1097/ACM.0000000000000681</t>
  </si>
  <si>
    <t>10.1097/ACM.0000000000000719</t>
  </si>
  <si>
    <t>10.1097/ACM.0000000000000470</t>
  </si>
  <si>
    <t>10.1097/ACM.0000000000000653</t>
  </si>
  <si>
    <t>10.1097/ACM.0000000000000702</t>
  </si>
  <si>
    <t>10.1097/ACM.0000000000000641</t>
  </si>
  <si>
    <t>10.1097/ACM.0000000000000766</t>
  </si>
  <si>
    <t>10.1097/ACM.0000000000000837</t>
  </si>
  <si>
    <t>10.1097/ACM.0000000000000652</t>
  </si>
  <si>
    <t>10.1097/ACM.0000000000000779</t>
  </si>
  <si>
    <t>10.1097/ACM.0000000000000671</t>
  </si>
  <si>
    <t>10.1097/ACM.0000000000000596</t>
  </si>
  <si>
    <t>10.1097/ACM.0000000000000763</t>
  </si>
  <si>
    <t>10.1097/ACM.0000000000000661</t>
  </si>
  <si>
    <t>10.1097/ACM.0000000000000668</t>
  </si>
  <si>
    <t>10.1097/ACM.0000000000000500</t>
  </si>
  <si>
    <t>10.1097/ACM.0000000000000708</t>
  </si>
  <si>
    <t>10.1097/ACM.0000000000000887</t>
  </si>
  <si>
    <t>10.1097/ACM.0000000000000709</t>
  </si>
  <si>
    <t>10.1097/ACM.0000000000000542</t>
  </si>
  <si>
    <t>10.1097/ACM.0000000000000754</t>
  </si>
  <si>
    <t>10.1097/ACM.0000000000000736</t>
  </si>
  <si>
    <t>10.1097/ACM.0000000000000737</t>
  </si>
  <si>
    <t>10.1097/ACM.0000000000000546</t>
  </si>
  <si>
    <t>10.1097/ACM.0000000000000550</t>
  </si>
  <si>
    <t>10.1097/ACM.0000000000000794</t>
  </si>
  <si>
    <t>10.1097/ACM.0000000000000605</t>
  </si>
  <si>
    <t>10.1097/ACM.0000000000000907</t>
  </si>
  <si>
    <t>10.1097/ACM.0000000000000954</t>
  </si>
  <si>
    <t>10.1097/ACM.0000000000000647</t>
  </si>
  <si>
    <t>10.1097/ACM.0000000000000938</t>
  </si>
  <si>
    <t>10.1097/ACM.0000000000000570</t>
  </si>
  <si>
    <t>10.1097/ACM.0000000000000769</t>
  </si>
  <si>
    <t>10.1097/ACM.0000000000000606</t>
  </si>
  <si>
    <t>10.1097/ACM.0000000000000551</t>
  </si>
  <si>
    <t>10.1097/ACM.0000000000000679</t>
  </si>
  <si>
    <t>10.1097/ACM.0000000000000755</t>
  </si>
  <si>
    <t>10.1097/ACM.0000000000000765</t>
  </si>
  <si>
    <t>10.1097/ACM.0000000000000706</t>
  </si>
  <si>
    <t>10.1097/ACM.0000000000000547</t>
  </si>
  <si>
    <t>10.1097/ACM.0000000000000780</t>
  </si>
  <si>
    <t>10.1097/ACM.0000000000000545</t>
  </si>
  <si>
    <t>10.1097/ACM.0000000000000540</t>
  </si>
  <si>
    <t>10.1097/ACM.0000000000000705</t>
  </si>
  <si>
    <t>10.1097/ACM.0000000000000588</t>
  </si>
  <si>
    <t>10.1097/ACM.0000000000000578</t>
  </si>
  <si>
    <t>10.1097/ACM.0000000000000633</t>
  </si>
  <si>
    <t>10.1097/ACM.0000000000000704</t>
  </si>
  <si>
    <t>10.1097/ACM.0000000000000612</t>
  </si>
  <si>
    <t>10.1097/ACM.0000000000000690</t>
  </si>
  <si>
    <t>10.1097/ACM.0000000000000777</t>
  </si>
  <si>
    <t>10.1097/ACM.0000000000000701</t>
  </si>
  <si>
    <t>10.1097/ACM.0000000000000447</t>
  </si>
  <si>
    <t>10.1097/ACM.0000000000000656</t>
  </si>
  <si>
    <t>10.1097/ACM.0000000000000675</t>
  </si>
  <si>
    <t>10.1097/ACM.0000000000000614</t>
  </si>
  <si>
    <t>10.1097/ACM.0000000000000590</t>
  </si>
  <si>
    <t>10.1097/ACM.0000000000000581</t>
  </si>
  <si>
    <t>10.1097/ACM.0000000000000572</t>
  </si>
  <si>
    <t>10.1097/ACM.0000000000000642</t>
  </si>
  <si>
    <t>10.1097/ACM.0000000000000677</t>
  </si>
  <si>
    <t>10.1097/ACM.0000000000000692</t>
  </si>
  <si>
    <t>10.1097/ACM.0000000000000793</t>
  </si>
  <si>
    <t>10.1097/ACM.0000000000000543</t>
  </si>
  <si>
    <t>10.1097/ACM.0000000000000788</t>
  </si>
  <si>
    <t>10.1097/ACM.0000000000000815</t>
  </si>
  <si>
    <t>10.1097/ACM.0000000000000805</t>
  </si>
  <si>
    <t>10.1097/ACM.0000000000000583</t>
  </si>
  <si>
    <t>10.1097/ACM.0000000000000615</t>
  </si>
  <si>
    <t>10.1097/ACM.0000000000000740</t>
  </si>
  <si>
    <t>10.1097/ACM.0000000000000553</t>
  </si>
  <si>
    <t>10.1097/ACM.0000000000000767</t>
  </si>
  <si>
    <t>10.1097/ACM.0000000000000437</t>
  </si>
  <si>
    <t>10.1097/ACM.0000000000000674</t>
  </si>
  <si>
    <t>10.1097/ACM.0000000000000632</t>
  </si>
  <si>
    <t>10.1097/ACM.0000000000000458</t>
  </si>
  <si>
    <t>10.1097/ACM.0000000000000707</t>
  </si>
  <si>
    <t>10.1097/ACM.0000000000000720</t>
  </si>
  <si>
    <t>10.1097/ACM.0000000000000617</t>
  </si>
  <si>
    <t>10.1097/ACM.0000000000000658</t>
  </si>
  <si>
    <t>10.1097/ACM.0000000000000508</t>
  </si>
  <si>
    <t>10.1097/ACM.0000000000000850</t>
  </si>
  <si>
    <t>10.1097/ACM.0000000000000735</t>
  </si>
  <si>
    <t>10.1097/ACM.0000000000000524</t>
  </si>
  <si>
    <t>10.1097/ACM.0000000000000548</t>
  </si>
  <si>
    <t>10.1097/ACM.0000000000000445</t>
  </si>
  <si>
    <t>10.1097/ACM.0000000000000970</t>
  </si>
  <si>
    <t>10.1097/ACM.0000000000000440</t>
  </si>
  <si>
    <t>10.1097/ACM.0000000000000544</t>
  </si>
  <si>
    <t>10.1097/ACM.0000000000000829</t>
  </si>
  <si>
    <t>10.1097/ACM.0000000000000933</t>
  </si>
  <si>
    <t>10.1097/ACM.0000000000000620</t>
  </si>
  <si>
    <t>10.1097/ACM.0000000000000716</t>
  </si>
  <si>
    <t>10.1097/ACM.0000000000000568</t>
  </si>
  <si>
    <t>10.1097/ACM.0000000000000640</t>
  </si>
  <si>
    <t>10.1097/ACM.0000000000000464</t>
  </si>
  <si>
    <t>10.1097/ACM.0000000000000585</t>
  </si>
  <si>
    <t>10.1097/ACM.0000000000000768</t>
  </si>
  <si>
    <t>10.1097/ACM.0000000000000717</t>
  </si>
  <si>
    <t>10.1097/ACM.0000000000000816</t>
  </si>
  <si>
    <t>10.1097/ACM.0000000000000792</t>
  </si>
  <si>
    <t>10.1097/ACM.0000000000000631</t>
  </si>
  <si>
    <t>10.1097/ACM.0000000000000442</t>
  </si>
  <si>
    <t>10.1097/ACM.0000000000000579</t>
  </si>
  <si>
    <t>10.1097/ACM.0000000000000686</t>
  </si>
  <si>
    <t>tweet</t>
  </si>
  <si>
    <t>Column Labels</t>
  </si>
  <si>
    <t>Sum of Unique Visitors</t>
  </si>
  <si>
    <t>Total Sum of Unique Visitors</t>
  </si>
  <si>
    <t>Total Sum of Visits Trends</t>
  </si>
  <si>
    <t>Sum of Visits Trends</t>
  </si>
  <si>
    <t>Times Cited</t>
  </si>
  <si>
    <t>date tweeted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</si>
</sst>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roux, Todd, LT, USN" refreshedDate="41774.69637928241" createdVersion="5" refreshedVersion="5" minRefreshableVersion="3" recordCount="158" xr:uid="{00000000-000A-0000-FFFF-FFFF00000000}">
  <cacheSource type="worksheet">
    <worksheetSource ref="A1:H159" sheet="data"/>
  </cacheSource>
  <cacheFields count="8">
    <cacheField name="DOI (v31)" numFmtId="0">
      <sharedItems/>
    </cacheField>
    <cacheField name="Unique Visitors" numFmtId="0">
      <sharedItems containsSemiMixedTypes="0" containsString="0" containsNumber="1" containsInteger="1" minValue="1" maxValue="92" count="28">
        <n v="92"/>
        <n v="68"/>
        <n v="32"/>
        <n v="28"/>
        <n v="27"/>
        <n v="25"/>
        <n v="24"/>
        <n v="22"/>
        <n v="20"/>
        <n v="19"/>
        <n v="18"/>
        <n v="17"/>
        <n v="16"/>
        <n v="15"/>
        <n v="14"/>
        <n v="13"/>
        <n v="12"/>
        <n v="11"/>
        <n v="10"/>
        <n v="9"/>
        <n v="8"/>
        <n v="7"/>
        <n v="6"/>
        <n v="5"/>
        <n v="4"/>
        <n v="3"/>
        <n v="2"/>
        <n v="1"/>
      </sharedItems>
    </cacheField>
    <cacheField name="Visits Trends" numFmtId="0">
      <sharedItems containsSemiMixedTypes="0" containsString="0" containsNumber="1" containsInteger="1" minValue="1" maxValue="105"/>
    </cacheField>
    <cacheField name="Page View Trend" numFmtId="0">
      <sharedItems containsSemiMixedTypes="0" containsString="0" containsNumber="1" containsInteger="1" minValue="0" maxValue="122"/>
    </cacheField>
    <cacheField name="HTML Full Text View (e42)" numFmtId="0">
      <sharedItems containsSemiMixedTypes="0" containsString="0" containsNumber="1" containsInteger="1" minValue="0" maxValue="76"/>
    </cacheField>
    <cacheField name="Full Text Views (e44)" numFmtId="0">
      <sharedItems containsSemiMixedTypes="0" containsString="0" containsNumber="1" containsInteger="1" minValue="0" maxValue="81"/>
    </cacheField>
    <cacheField name="PDF Full Text View (e53)" numFmtId="0">
      <sharedItems containsSemiMixedTypes="0" containsString="0" containsNumber="1" containsInteger="1" minValue="0" maxValue="14"/>
    </cacheField>
    <cacheField name="tweet" numFmtId="0">
      <sharedItems containsSemiMixedTypes="0" containsString="0" containsNumber="1" containsInteger="1" minValue="0" maxValue="1" count="2">
        <n v="0"/>
        <n v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58">
  <r>
    <s v="10.1097/ACM.0000000000000682"/>
    <x v="0"/>
    <n v="105"/>
    <n v="122"/>
    <n v="64"/>
    <n v="78"/>
    <n v="14"/>
    <x v="0"/>
  </r>
  <r>
    <s v="10.1097/ACM.0000000000000646"/>
    <x v="1"/>
    <n v="74"/>
    <n v="81"/>
    <n v="76"/>
    <n v="81"/>
    <n v="5"/>
    <x v="1"/>
  </r>
  <r>
    <s v="10.1097/ACM.0000000000000809"/>
    <x v="2"/>
    <n v="35"/>
    <n v="43"/>
    <n v="36"/>
    <n v="49"/>
    <n v="13"/>
    <x v="1"/>
  </r>
  <r>
    <s v="10.1097/ACM.0000000000000449"/>
    <x v="3"/>
    <n v="28"/>
    <n v="28"/>
    <n v="28"/>
    <n v="29"/>
    <n v="1"/>
    <x v="1"/>
  </r>
  <r>
    <s v="10.1097/ACM.0000000000000680"/>
    <x v="4"/>
    <n v="27"/>
    <n v="33"/>
    <n v="27"/>
    <n v="30"/>
    <n v="3"/>
    <x v="1"/>
  </r>
  <r>
    <s v="10.1097/ACM.0000000000000564"/>
    <x v="4"/>
    <n v="30"/>
    <n v="34"/>
    <n v="31"/>
    <n v="39"/>
    <n v="8"/>
    <x v="1"/>
  </r>
  <r>
    <s v="10.1097/ACM.0000000000000734"/>
    <x v="5"/>
    <n v="30"/>
    <n v="36"/>
    <n v="23"/>
    <n v="34"/>
    <n v="11"/>
    <x v="1"/>
  </r>
  <r>
    <s v="10.1097/ACM.0000000000000714"/>
    <x v="6"/>
    <n v="28"/>
    <n v="29"/>
    <n v="29"/>
    <n v="35"/>
    <n v="6"/>
    <x v="1"/>
  </r>
  <r>
    <s v="10.1097/ACM.0000000000000842"/>
    <x v="6"/>
    <n v="29"/>
    <n v="37"/>
    <n v="35"/>
    <n v="40"/>
    <n v="5"/>
    <x v="1"/>
  </r>
  <r>
    <s v="10.1097/ACM.0000000000000725"/>
    <x v="7"/>
    <n v="22"/>
    <n v="27"/>
    <n v="24"/>
    <n v="30"/>
    <n v="6"/>
    <x v="0"/>
  </r>
  <r>
    <s v="10.1097/ACM.0000000000000939"/>
    <x v="7"/>
    <n v="26"/>
    <n v="28"/>
    <n v="19"/>
    <n v="28"/>
    <n v="9"/>
    <x v="1"/>
  </r>
  <r>
    <s v="10.1097/ACM.0000000000000860"/>
    <x v="8"/>
    <n v="23"/>
    <n v="27"/>
    <n v="27"/>
    <n v="29"/>
    <n v="2"/>
    <x v="1"/>
  </r>
  <r>
    <s v="10.1097/ACM.0000000000000700"/>
    <x v="8"/>
    <n v="21"/>
    <n v="38"/>
    <n v="18"/>
    <n v="26"/>
    <n v="8"/>
    <x v="0"/>
  </r>
  <r>
    <s v="10.1097/ACM.0000000000000610"/>
    <x v="9"/>
    <n v="26"/>
    <n v="29"/>
    <n v="23"/>
    <n v="29"/>
    <n v="6"/>
    <x v="1"/>
  </r>
  <r>
    <s v="10.1097/ACM.0000000000000586"/>
    <x v="10"/>
    <n v="18"/>
    <n v="20"/>
    <n v="13"/>
    <n v="25"/>
    <n v="12"/>
    <x v="1"/>
  </r>
  <r>
    <s v="10.1097/ACM.0000000000000715"/>
    <x v="10"/>
    <n v="19"/>
    <n v="24"/>
    <n v="15"/>
    <n v="21"/>
    <n v="6"/>
    <x v="0"/>
  </r>
  <r>
    <s v="10.1097/ACM.0000000000000522"/>
    <x v="11"/>
    <n v="21"/>
    <n v="22"/>
    <n v="21"/>
    <n v="26"/>
    <n v="5"/>
    <x v="1"/>
  </r>
  <r>
    <s v="10.1097/ACM.0000000000000619"/>
    <x v="12"/>
    <n v="19"/>
    <n v="23"/>
    <n v="18"/>
    <n v="21"/>
    <n v="3"/>
    <x v="1"/>
  </r>
  <r>
    <s v="10.1097/ACM.0000000000000655"/>
    <x v="13"/>
    <n v="16"/>
    <n v="18"/>
    <n v="15"/>
    <n v="23"/>
    <n v="8"/>
    <x v="1"/>
  </r>
  <r>
    <s v="10.1097/ACM.0000000000000525"/>
    <x v="13"/>
    <n v="15"/>
    <n v="25"/>
    <n v="25"/>
    <n v="25"/>
    <n v="0"/>
    <x v="1"/>
  </r>
  <r>
    <s v="10.1097/ACM.0000000000000446"/>
    <x v="13"/>
    <n v="18"/>
    <n v="23"/>
    <n v="18"/>
    <n v="22"/>
    <n v="4"/>
    <x v="0"/>
  </r>
  <r>
    <s v="10.1097/ACM.0000000000000934"/>
    <x v="14"/>
    <n v="14"/>
    <n v="18"/>
    <n v="15"/>
    <n v="18"/>
    <n v="3"/>
    <x v="0"/>
  </r>
  <r>
    <s v="10.1097/ACM.0000000000000529"/>
    <x v="15"/>
    <n v="24"/>
    <n v="45"/>
    <n v="18"/>
    <n v="20"/>
    <n v="2"/>
    <x v="1"/>
  </r>
  <r>
    <s v="10.1097/ACM.0000000000000560"/>
    <x v="15"/>
    <n v="14"/>
    <n v="14"/>
    <n v="14"/>
    <n v="21"/>
    <n v="7"/>
    <x v="0"/>
  </r>
  <r>
    <s v="10.1097/ACM.0000000000000603"/>
    <x v="16"/>
    <n v="12"/>
    <n v="15"/>
    <n v="10"/>
    <n v="14"/>
    <n v="4"/>
    <x v="0"/>
  </r>
  <r>
    <s v="10.1097/ACM.0000000000000786"/>
    <x v="16"/>
    <n v="12"/>
    <n v="14"/>
    <n v="10"/>
    <n v="13"/>
    <n v="3"/>
    <x v="1"/>
  </r>
  <r>
    <s v="10.1097/ACM.0000000000000743"/>
    <x v="17"/>
    <n v="15"/>
    <n v="16"/>
    <n v="12"/>
    <n v="15"/>
    <n v="3"/>
    <x v="0"/>
  </r>
  <r>
    <s v="10.1097/ACM.0000000000000718"/>
    <x v="18"/>
    <n v="10"/>
    <n v="11"/>
    <n v="9"/>
    <n v="17"/>
    <n v="8"/>
    <x v="1"/>
  </r>
  <r>
    <s v="10.1097/ACM.0000000000000465"/>
    <x v="18"/>
    <n v="11"/>
    <n v="11"/>
    <n v="10"/>
    <n v="10"/>
    <n v="0"/>
    <x v="1"/>
  </r>
  <r>
    <s v="10.1097/ACM.0000000000000960"/>
    <x v="18"/>
    <n v="10"/>
    <n v="10"/>
    <n v="8"/>
    <n v="10"/>
    <n v="2"/>
    <x v="1"/>
  </r>
  <r>
    <s v="10.1097/ACM.0000000000000592"/>
    <x v="19"/>
    <n v="9"/>
    <n v="10"/>
    <n v="6"/>
    <n v="6"/>
    <n v="0"/>
    <x v="1"/>
  </r>
  <r>
    <s v="10.1097/ACM.0000000000000657"/>
    <x v="19"/>
    <n v="10"/>
    <n v="12"/>
    <n v="11"/>
    <n v="18"/>
    <n v="7"/>
    <x v="0"/>
  </r>
  <r>
    <s v="10.1097/ACM.0000000000000811"/>
    <x v="19"/>
    <n v="11"/>
    <n v="9"/>
    <n v="6"/>
    <n v="9"/>
    <n v="3"/>
    <x v="0"/>
  </r>
  <r>
    <s v="10.1097/ACM.0000000000000594"/>
    <x v="19"/>
    <n v="12"/>
    <n v="12"/>
    <n v="12"/>
    <n v="13"/>
    <n v="1"/>
    <x v="1"/>
  </r>
  <r>
    <s v="10.1097/ACM.0000000000000703"/>
    <x v="19"/>
    <n v="13"/>
    <n v="22"/>
    <n v="8"/>
    <n v="16"/>
    <n v="8"/>
    <x v="0"/>
  </r>
  <r>
    <s v="10.1097/ACM.0000000000000921"/>
    <x v="19"/>
    <n v="12"/>
    <n v="14"/>
    <n v="13"/>
    <n v="13"/>
    <n v="0"/>
    <x v="1"/>
  </r>
  <r>
    <s v="10.1097/ACM.0000000000000841"/>
    <x v="19"/>
    <n v="10"/>
    <n v="20"/>
    <n v="19"/>
    <n v="21"/>
    <n v="2"/>
    <x v="0"/>
  </r>
  <r>
    <s v="10.1097/ACM.0000000000000803"/>
    <x v="20"/>
    <n v="8"/>
    <n v="8"/>
    <n v="7"/>
    <n v="9"/>
    <n v="2"/>
    <x v="1"/>
  </r>
  <r>
    <s v="10.1097/ACM.0000000000000801"/>
    <x v="20"/>
    <n v="8"/>
    <n v="9"/>
    <n v="7"/>
    <n v="9"/>
    <n v="2"/>
    <x v="1"/>
  </r>
  <r>
    <s v="10.1097/ACM.0000000000000591"/>
    <x v="20"/>
    <n v="10"/>
    <n v="12"/>
    <n v="4"/>
    <n v="7"/>
    <n v="3"/>
    <x v="1"/>
  </r>
  <r>
    <s v="10.1097/ACM.0000000000000499"/>
    <x v="21"/>
    <n v="7"/>
    <n v="7"/>
    <n v="6"/>
    <n v="7"/>
    <n v="1"/>
    <x v="1"/>
  </r>
  <r>
    <s v="10.1097/ACM.0000000000000611"/>
    <x v="21"/>
    <n v="7"/>
    <n v="7"/>
    <n v="7"/>
    <n v="8"/>
    <n v="1"/>
    <x v="0"/>
  </r>
  <r>
    <s v="10.1097/ACM.0000000000000685"/>
    <x v="21"/>
    <n v="8"/>
    <n v="7"/>
    <n v="7"/>
    <n v="8"/>
    <n v="1"/>
    <x v="1"/>
  </r>
  <r>
    <s v="10.1097/ACM.0000000000000806"/>
    <x v="21"/>
    <n v="7"/>
    <n v="6"/>
    <n v="5"/>
    <n v="7"/>
    <n v="2"/>
    <x v="1"/>
  </r>
  <r>
    <s v="10.1097/ACM.0000000000000604"/>
    <x v="21"/>
    <n v="10"/>
    <n v="12"/>
    <n v="10"/>
    <n v="11"/>
    <n v="1"/>
    <x v="0"/>
  </r>
  <r>
    <s v="10.1097/ACM.0000000000000822"/>
    <x v="21"/>
    <n v="10"/>
    <n v="10"/>
    <n v="1"/>
    <n v="2"/>
    <n v="1"/>
    <x v="1"/>
  </r>
  <r>
    <s v="10.1097/ACM.0000000000000521"/>
    <x v="21"/>
    <n v="7"/>
    <n v="7"/>
    <n v="7"/>
    <n v="7"/>
    <n v="0"/>
    <x v="1"/>
  </r>
  <r>
    <s v="10.1097/ACM.0000000000000506"/>
    <x v="21"/>
    <n v="10"/>
    <n v="10"/>
    <n v="10"/>
    <n v="10"/>
    <n v="0"/>
    <x v="1"/>
  </r>
  <r>
    <s v="10.1097/ACM.0000000000000467"/>
    <x v="21"/>
    <n v="7"/>
    <n v="8"/>
    <n v="8"/>
    <n v="9"/>
    <n v="1"/>
    <x v="0"/>
  </r>
  <r>
    <s v="10.1097/ACM.0000000000000669"/>
    <x v="21"/>
    <n v="7"/>
    <n v="8"/>
    <n v="5"/>
    <n v="6"/>
    <n v="1"/>
    <x v="0"/>
  </r>
  <r>
    <s v="10.1097/ACM.0000000000000552"/>
    <x v="21"/>
    <n v="7"/>
    <n v="9"/>
    <n v="8"/>
    <n v="10"/>
    <n v="2"/>
    <x v="0"/>
  </r>
  <r>
    <s v="10.1097/ACM.0000000000000616"/>
    <x v="21"/>
    <n v="7"/>
    <n v="9"/>
    <n v="8"/>
    <n v="10"/>
    <n v="2"/>
    <x v="1"/>
  </r>
  <r>
    <s v="10.1097/ACM.0000000000000649"/>
    <x v="22"/>
    <n v="6"/>
    <n v="6"/>
    <n v="6"/>
    <n v="7"/>
    <n v="1"/>
    <x v="1"/>
  </r>
  <r>
    <s v="10.1097/ACM.0000000000000681"/>
    <x v="22"/>
    <n v="6"/>
    <n v="6"/>
    <n v="5"/>
    <n v="9"/>
    <n v="4"/>
    <x v="1"/>
  </r>
  <r>
    <s v="10.1097/ACM.0000000000000719"/>
    <x v="22"/>
    <n v="9"/>
    <n v="8"/>
    <n v="6"/>
    <n v="9"/>
    <n v="3"/>
    <x v="1"/>
  </r>
  <r>
    <s v="10.1097/ACM.0000000000000470"/>
    <x v="22"/>
    <n v="12"/>
    <n v="14"/>
    <n v="7"/>
    <n v="11"/>
    <n v="4"/>
    <x v="0"/>
  </r>
  <r>
    <s v="10.1097/ACM.0000000000000653"/>
    <x v="22"/>
    <n v="9"/>
    <n v="8"/>
    <n v="4"/>
    <n v="5"/>
    <n v="1"/>
    <x v="0"/>
  </r>
  <r>
    <s v="10.1097/ACM.0000000000000702"/>
    <x v="22"/>
    <n v="8"/>
    <n v="7"/>
    <n v="3"/>
    <n v="5"/>
    <n v="2"/>
    <x v="0"/>
  </r>
  <r>
    <s v="10.1097/ACM.0000000000000641"/>
    <x v="22"/>
    <n v="8"/>
    <n v="12"/>
    <n v="10"/>
    <n v="13"/>
    <n v="3"/>
    <x v="0"/>
  </r>
  <r>
    <s v="10.1097/ACM.0000000000000766"/>
    <x v="22"/>
    <n v="8"/>
    <n v="9"/>
    <n v="6"/>
    <n v="7"/>
    <n v="1"/>
    <x v="1"/>
  </r>
  <r>
    <s v="10.1097/ACM.0000000000000837"/>
    <x v="22"/>
    <n v="8"/>
    <n v="15"/>
    <n v="6"/>
    <n v="9"/>
    <n v="3"/>
    <x v="0"/>
  </r>
  <r>
    <s v="10.1097/ACM.0000000000000652"/>
    <x v="22"/>
    <n v="7"/>
    <n v="9"/>
    <n v="9"/>
    <n v="11"/>
    <n v="2"/>
    <x v="0"/>
  </r>
  <r>
    <s v="10.1097/ACM.0000000000000779"/>
    <x v="22"/>
    <n v="6"/>
    <n v="7"/>
    <n v="7"/>
    <n v="9"/>
    <n v="2"/>
    <x v="1"/>
  </r>
  <r>
    <s v="10.1097/ACM.0000000000000671"/>
    <x v="23"/>
    <n v="5"/>
    <n v="5"/>
    <n v="3"/>
    <n v="5"/>
    <n v="2"/>
    <x v="0"/>
  </r>
  <r>
    <s v="10.1097/ACM.0000000000000596"/>
    <x v="23"/>
    <n v="5"/>
    <n v="5"/>
    <n v="4"/>
    <n v="7"/>
    <n v="3"/>
    <x v="0"/>
  </r>
  <r>
    <s v="10.1097/ACM.0000000000000763"/>
    <x v="23"/>
    <n v="5"/>
    <n v="5"/>
    <n v="5"/>
    <n v="7"/>
    <n v="2"/>
    <x v="1"/>
  </r>
  <r>
    <s v="10.1097/ACM.0000000000000661"/>
    <x v="23"/>
    <n v="6"/>
    <n v="7"/>
    <n v="5"/>
    <n v="6"/>
    <n v="1"/>
    <x v="1"/>
  </r>
  <r>
    <s v="10.1097/ACM.0000000000000668"/>
    <x v="23"/>
    <n v="6"/>
    <n v="8"/>
    <n v="4"/>
    <n v="5"/>
    <n v="1"/>
    <x v="0"/>
  </r>
  <r>
    <s v="10.1097/ACM.0000000000000500"/>
    <x v="23"/>
    <n v="5"/>
    <n v="9"/>
    <n v="5"/>
    <n v="6"/>
    <n v="1"/>
    <x v="0"/>
  </r>
  <r>
    <s v="10.1097/ACM.0000000000000708"/>
    <x v="23"/>
    <n v="6"/>
    <n v="6"/>
    <n v="5"/>
    <n v="6"/>
    <n v="1"/>
    <x v="0"/>
  </r>
  <r>
    <s v="10.1097/ACM.0000000000000887"/>
    <x v="23"/>
    <n v="6"/>
    <n v="5"/>
    <n v="3"/>
    <n v="7"/>
    <n v="4"/>
    <x v="1"/>
  </r>
  <r>
    <s v="10.1097/ACM.0000000000000709"/>
    <x v="23"/>
    <n v="6"/>
    <n v="5"/>
    <n v="5"/>
    <n v="9"/>
    <n v="4"/>
    <x v="0"/>
  </r>
  <r>
    <s v="10.1097/ACM.0000000000000542"/>
    <x v="23"/>
    <n v="5"/>
    <n v="6"/>
    <n v="2"/>
    <n v="3"/>
    <n v="1"/>
    <x v="0"/>
  </r>
  <r>
    <s v="10.1097/ACM.0000000000000754"/>
    <x v="24"/>
    <n v="4"/>
    <n v="4"/>
    <n v="3"/>
    <n v="7"/>
    <n v="4"/>
    <x v="0"/>
  </r>
  <r>
    <s v="10.1097/ACM.0000000000000736"/>
    <x v="24"/>
    <n v="4"/>
    <n v="7"/>
    <n v="3"/>
    <n v="4"/>
    <n v="1"/>
    <x v="1"/>
  </r>
  <r>
    <s v="10.1097/ACM.0000000000000737"/>
    <x v="24"/>
    <n v="4"/>
    <n v="4"/>
    <n v="2"/>
    <n v="3"/>
    <n v="1"/>
    <x v="0"/>
  </r>
  <r>
    <s v="10.1097/ACM.0000000000000546"/>
    <x v="24"/>
    <n v="4"/>
    <n v="4"/>
    <n v="0"/>
    <n v="4"/>
    <n v="4"/>
    <x v="0"/>
  </r>
  <r>
    <s v="10.1097/ACM.0000000000000550"/>
    <x v="24"/>
    <n v="5"/>
    <n v="5"/>
    <n v="2"/>
    <n v="4"/>
    <n v="2"/>
    <x v="1"/>
  </r>
  <r>
    <s v="10.1097/ACM.0000000000000794"/>
    <x v="24"/>
    <n v="4"/>
    <n v="10"/>
    <n v="6"/>
    <n v="6"/>
    <n v="0"/>
    <x v="1"/>
  </r>
  <r>
    <s v="10.1097/ACM.0000000000000605"/>
    <x v="24"/>
    <n v="5"/>
    <n v="5"/>
    <n v="5"/>
    <n v="7"/>
    <n v="2"/>
    <x v="0"/>
  </r>
  <r>
    <s v="10.1097/ACM.0000000000000907"/>
    <x v="24"/>
    <n v="5"/>
    <n v="5"/>
    <n v="5"/>
    <n v="6"/>
    <n v="1"/>
    <x v="0"/>
  </r>
  <r>
    <s v="10.1097/ACM.0000000000000954"/>
    <x v="25"/>
    <n v="3"/>
    <n v="3"/>
    <n v="1"/>
    <n v="2"/>
    <n v="1"/>
    <x v="1"/>
  </r>
  <r>
    <s v="10.1097/ACM.0000000000000647"/>
    <x v="25"/>
    <n v="3"/>
    <n v="3"/>
    <n v="3"/>
    <n v="3"/>
    <n v="0"/>
    <x v="0"/>
  </r>
  <r>
    <s v="10.1097/ACM.0000000000000938"/>
    <x v="25"/>
    <n v="3"/>
    <n v="3"/>
    <n v="3"/>
    <n v="4"/>
    <n v="1"/>
    <x v="0"/>
  </r>
  <r>
    <s v="10.1097/ACM.0000000000000570"/>
    <x v="25"/>
    <n v="3"/>
    <n v="7"/>
    <n v="2"/>
    <n v="3"/>
    <n v="1"/>
    <x v="0"/>
  </r>
  <r>
    <s v="10.1097/ACM.0000000000000769"/>
    <x v="25"/>
    <n v="3"/>
    <n v="9"/>
    <n v="7"/>
    <n v="9"/>
    <n v="2"/>
    <x v="0"/>
  </r>
  <r>
    <s v="10.1097/ACM.0000000000000606"/>
    <x v="25"/>
    <n v="5"/>
    <n v="5"/>
    <n v="2"/>
    <n v="2"/>
    <n v="0"/>
    <x v="1"/>
  </r>
  <r>
    <s v="10.1097/ACM.0000000000000551"/>
    <x v="25"/>
    <n v="3"/>
    <n v="4"/>
    <n v="2"/>
    <n v="3"/>
    <n v="1"/>
    <x v="1"/>
  </r>
  <r>
    <s v="10.1097/ACM.0000000000000679"/>
    <x v="25"/>
    <n v="3"/>
    <n v="3"/>
    <n v="3"/>
    <n v="4"/>
    <n v="1"/>
    <x v="1"/>
  </r>
  <r>
    <s v="10.1097/ACM.0000000000000755"/>
    <x v="25"/>
    <n v="3"/>
    <n v="4"/>
    <n v="3"/>
    <n v="3"/>
    <n v="0"/>
    <x v="1"/>
  </r>
  <r>
    <s v="10.1097/ACM.0000000000000765"/>
    <x v="25"/>
    <n v="3"/>
    <n v="3"/>
    <n v="3"/>
    <n v="7"/>
    <n v="4"/>
    <x v="0"/>
  </r>
  <r>
    <s v="10.1097/ACM.0000000000000706"/>
    <x v="25"/>
    <n v="3"/>
    <n v="3"/>
    <n v="3"/>
    <n v="4"/>
    <n v="1"/>
    <x v="0"/>
  </r>
  <r>
    <s v="10.1097/ACM.0000000000000547"/>
    <x v="25"/>
    <n v="3"/>
    <n v="3"/>
    <n v="3"/>
    <n v="4"/>
    <n v="1"/>
    <x v="1"/>
  </r>
  <r>
    <s v="10.1097/ACM.0000000000000780"/>
    <x v="25"/>
    <n v="3"/>
    <n v="4"/>
    <n v="3"/>
    <n v="3"/>
    <n v="0"/>
    <x v="0"/>
  </r>
  <r>
    <s v="10.1097/ACM.0000000000000545"/>
    <x v="25"/>
    <n v="3"/>
    <n v="4"/>
    <n v="4"/>
    <n v="4"/>
    <n v="0"/>
    <x v="0"/>
  </r>
  <r>
    <s v="10.1097/ACM.0000000000000540"/>
    <x v="25"/>
    <n v="3"/>
    <n v="4"/>
    <n v="3"/>
    <n v="3"/>
    <n v="0"/>
    <x v="0"/>
  </r>
  <r>
    <s v="10.1097/ACM.0000000000000705"/>
    <x v="26"/>
    <n v="2"/>
    <n v="2"/>
    <n v="1"/>
    <n v="2"/>
    <n v="1"/>
    <x v="1"/>
  </r>
  <r>
    <s v="10.1097/ACM.0000000000000588"/>
    <x v="26"/>
    <n v="2"/>
    <n v="2"/>
    <n v="1"/>
    <n v="1"/>
    <n v="0"/>
    <x v="1"/>
  </r>
  <r>
    <s v="10.1097/ACM.0000000000000578"/>
    <x v="26"/>
    <n v="2"/>
    <n v="2"/>
    <n v="1"/>
    <n v="1"/>
    <n v="0"/>
    <x v="1"/>
  </r>
  <r>
    <s v="10.1097/ACM.0000000000000633"/>
    <x v="26"/>
    <n v="2"/>
    <n v="2"/>
    <n v="2"/>
    <n v="2"/>
    <n v="0"/>
    <x v="1"/>
  </r>
  <r>
    <s v="10.1097/ACM.0000000000000704"/>
    <x v="26"/>
    <n v="2"/>
    <n v="2"/>
    <n v="1"/>
    <n v="3"/>
    <n v="2"/>
    <x v="1"/>
  </r>
  <r>
    <s v="10.1097/ACM.0000000000000612"/>
    <x v="26"/>
    <n v="2"/>
    <n v="7"/>
    <n v="1"/>
    <n v="2"/>
    <n v="1"/>
    <x v="1"/>
  </r>
  <r>
    <s v="10.1097/ACM.0000000000000690"/>
    <x v="26"/>
    <n v="2"/>
    <n v="1"/>
    <n v="0"/>
    <n v="1"/>
    <n v="1"/>
    <x v="0"/>
  </r>
  <r>
    <s v="10.1097/ACM.0000000000000777"/>
    <x v="26"/>
    <n v="2"/>
    <n v="3"/>
    <n v="3"/>
    <n v="4"/>
    <n v="1"/>
    <x v="1"/>
  </r>
  <r>
    <s v="10.1097/ACM.0000000000000701"/>
    <x v="26"/>
    <n v="2"/>
    <n v="2"/>
    <n v="0"/>
    <n v="0"/>
    <n v="0"/>
    <x v="1"/>
  </r>
  <r>
    <s v="10.1097/ACM.0000000000000447"/>
    <x v="26"/>
    <n v="2"/>
    <n v="4"/>
    <n v="4"/>
    <n v="5"/>
    <n v="1"/>
    <x v="0"/>
  </r>
  <r>
    <s v="10.1097/ACM.0000000000000656"/>
    <x v="26"/>
    <n v="2"/>
    <n v="3"/>
    <n v="2"/>
    <n v="3"/>
    <n v="1"/>
    <x v="0"/>
  </r>
  <r>
    <s v="10.1097/ACM.0000000000000675"/>
    <x v="26"/>
    <n v="3"/>
    <n v="3"/>
    <n v="3"/>
    <n v="3"/>
    <n v="0"/>
    <x v="1"/>
  </r>
  <r>
    <s v="10.1097/ACM.0000000000000614"/>
    <x v="26"/>
    <n v="4"/>
    <n v="16"/>
    <n v="7"/>
    <n v="12"/>
    <n v="5"/>
    <x v="0"/>
  </r>
  <r>
    <s v="10.1097/ACM.0000000000000590"/>
    <x v="26"/>
    <n v="3"/>
    <n v="3"/>
    <n v="3"/>
    <n v="3"/>
    <n v="0"/>
    <x v="1"/>
  </r>
  <r>
    <s v="10.1097/ACM.0000000000000581"/>
    <x v="26"/>
    <n v="4"/>
    <n v="4"/>
    <n v="4"/>
    <n v="6"/>
    <n v="2"/>
    <x v="1"/>
  </r>
  <r>
    <s v="10.1097/ACM.0000000000000572"/>
    <x v="26"/>
    <n v="2"/>
    <n v="2"/>
    <n v="2"/>
    <n v="2"/>
    <n v="0"/>
    <x v="0"/>
  </r>
  <r>
    <s v="10.1097/ACM.0000000000000642"/>
    <x v="26"/>
    <n v="2"/>
    <n v="2"/>
    <n v="2"/>
    <n v="3"/>
    <n v="0"/>
    <x v="0"/>
  </r>
  <r>
    <s v="10.1097/ACM.0000000000000677"/>
    <x v="26"/>
    <n v="2"/>
    <n v="2"/>
    <n v="2"/>
    <n v="3"/>
    <n v="1"/>
    <x v="0"/>
  </r>
  <r>
    <s v="10.1097/ACM.0000000000000692"/>
    <x v="26"/>
    <n v="2"/>
    <n v="2"/>
    <n v="2"/>
    <n v="3"/>
    <n v="1"/>
    <x v="0"/>
  </r>
  <r>
    <s v="10.1097/ACM.0000000000000793"/>
    <x v="26"/>
    <n v="2"/>
    <n v="2"/>
    <n v="2"/>
    <n v="2"/>
    <n v="0"/>
    <x v="0"/>
  </r>
  <r>
    <s v="10.1097/ACM.0000000000000543"/>
    <x v="26"/>
    <n v="2"/>
    <n v="2"/>
    <n v="2"/>
    <n v="2"/>
    <n v="0"/>
    <x v="1"/>
  </r>
  <r>
    <s v="10.1097/ACM.0000000000000788"/>
    <x v="26"/>
    <n v="2"/>
    <n v="2"/>
    <n v="2"/>
    <n v="2"/>
    <n v="0"/>
    <x v="0"/>
  </r>
  <r>
    <s v="10.1097/ACM.0000000000000815"/>
    <x v="26"/>
    <n v="2"/>
    <n v="2"/>
    <n v="2"/>
    <n v="2"/>
    <n v="0"/>
    <x v="0"/>
  </r>
  <r>
    <s v="10.1097/ACM.0000000000000805"/>
    <x v="26"/>
    <n v="2"/>
    <n v="3"/>
    <n v="0"/>
    <n v="2"/>
    <n v="2"/>
    <x v="0"/>
  </r>
  <r>
    <s v="10.1097/ACM.0000000000000583"/>
    <x v="26"/>
    <n v="2"/>
    <n v="2"/>
    <n v="2"/>
    <n v="3"/>
    <n v="1"/>
    <x v="1"/>
  </r>
  <r>
    <s v="10.1097/ACM.0000000000000615"/>
    <x v="26"/>
    <n v="2"/>
    <n v="2"/>
    <n v="2"/>
    <n v="3"/>
    <n v="1"/>
    <x v="0"/>
  </r>
  <r>
    <s v="10.1097/ACM.0000000000000740"/>
    <x v="27"/>
    <n v="1"/>
    <n v="1"/>
    <n v="1"/>
    <n v="1"/>
    <n v="0"/>
    <x v="0"/>
  </r>
  <r>
    <s v="10.1097/ACM.0000000000000553"/>
    <x v="27"/>
    <n v="1"/>
    <n v="1"/>
    <n v="1"/>
    <n v="1"/>
    <n v="0"/>
    <x v="1"/>
  </r>
  <r>
    <s v="10.1097/ACM.0000000000000767"/>
    <x v="27"/>
    <n v="1"/>
    <n v="1"/>
    <n v="0"/>
    <n v="2"/>
    <n v="2"/>
    <x v="0"/>
  </r>
  <r>
    <s v="10.1097/ACM.0000000000000437"/>
    <x v="27"/>
    <n v="1"/>
    <n v="1"/>
    <n v="1"/>
    <n v="1"/>
    <n v="0"/>
    <x v="1"/>
  </r>
  <r>
    <s v="10.1097/ACM.0000000000000674"/>
    <x v="27"/>
    <n v="1"/>
    <n v="1"/>
    <n v="1"/>
    <n v="1"/>
    <n v="0"/>
    <x v="1"/>
  </r>
  <r>
    <s v="10.1097/ACM.0000000000000632"/>
    <x v="27"/>
    <n v="1"/>
    <n v="1"/>
    <n v="1"/>
    <n v="1"/>
    <n v="0"/>
    <x v="1"/>
  </r>
  <r>
    <s v="10.1097/ACM.0000000000000458"/>
    <x v="27"/>
    <n v="1"/>
    <n v="1"/>
    <n v="1"/>
    <n v="1"/>
    <n v="0"/>
    <x v="0"/>
  </r>
  <r>
    <s v="10.1097/ACM.0000000000000707"/>
    <x v="27"/>
    <n v="1"/>
    <n v="1"/>
    <n v="1"/>
    <n v="1"/>
    <n v="0"/>
    <x v="0"/>
  </r>
  <r>
    <s v="10.1097/ACM.0000000000000720"/>
    <x v="27"/>
    <n v="1"/>
    <n v="1"/>
    <n v="1"/>
    <n v="1"/>
    <n v="0"/>
    <x v="0"/>
  </r>
  <r>
    <s v="10.1097/ACM.0000000000000617"/>
    <x v="27"/>
    <n v="1"/>
    <n v="1"/>
    <n v="1"/>
    <n v="1"/>
    <n v="0"/>
    <x v="1"/>
  </r>
  <r>
    <s v="10.1097/ACM.0000000000000658"/>
    <x v="27"/>
    <n v="1"/>
    <n v="0"/>
    <n v="0"/>
    <n v="1"/>
    <n v="1"/>
    <x v="1"/>
  </r>
  <r>
    <s v="10.1097/ACM.0000000000000508"/>
    <x v="27"/>
    <n v="1"/>
    <n v="1"/>
    <n v="0"/>
    <n v="1"/>
    <n v="1"/>
    <x v="0"/>
  </r>
  <r>
    <s v="10.1097/ACM.0000000000000850"/>
    <x v="27"/>
    <n v="1"/>
    <n v="1"/>
    <n v="0"/>
    <n v="0"/>
    <n v="0"/>
    <x v="0"/>
  </r>
  <r>
    <s v="10.1097/ACM.0000000000000735"/>
    <x v="27"/>
    <n v="1"/>
    <n v="1"/>
    <n v="0"/>
    <n v="1"/>
    <n v="1"/>
    <x v="0"/>
  </r>
  <r>
    <s v="10.1097/ACM.0000000000000524"/>
    <x v="27"/>
    <n v="1"/>
    <n v="1"/>
    <n v="0"/>
    <n v="1"/>
    <n v="1"/>
    <x v="1"/>
  </r>
  <r>
    <s v="10.1097/ACM.0000000000000548"/>
    <x v="27"/>
    <n v="1"/>
    <n v="1"/>
    <n v="0"/>
    <n v="0"/>
    <n v="0"/>
    <x v="0"/>
  </r>
  <r>
    <s v="10.1097/ACM.0000000000000445"/>
    <x v="27"/>
    <n v="1"/>
    <n v="1"/>
    <n v="0"/>
    <n v="0"/>
    <n v="0"/>
    <x v="0"/>
  </r>
  <r>
    <s v="10.1097/ACM.0000000000000970"/>
    <x v="27"/>
    <n v="1"/>
    <n v="1"/>
    <n v="0"/>
    <n v="0"/>
    <n v="0"/>
    <x v="1"/>
  </r>
  <r>
    <s v="10.1097/ACM.0000000000000440"/>
    <x v="27"/>
    <n v="1"/>
    <n v="2"/>
    <n v="1"/>
    <n v="1"/>
    <n v="0"/>
    <x v="1"/>
  </r>
  <r>
    <s v="10.1097/ACM.0000000000000544"/>
    <x v="27"/>
    <n v="1"/>
    <n v="1"/>
    <n v="1"/>
    <n v="2"/>
    <n v="1"/>
    <x v="0"/>
  </r>
  <r>
    <s v="10.1097/ACM.0000000000000829"/>
    <x v="27"/>
    <n v="1"/>
    <n v="1"/>
    <n v="1"/>
    <n v="2"/>
    <n v="1"/>
    <x v="1"/>
  </r>
  <r>
    <s v="10.1097/ACM.0000000000000933"/>
    <x v="27"/>
    <n v="1"/>
    <n v="2"/>
    <n v="0"/>
    <n v="0"/>
    <n v="0"/>
    <x v="1"/>
  </r>
  <r>
    <s v="10.1097/ACM.0000000000000620"/>
    <x v="27"/>
    <n v="1"/>
    <n v="1"/>
    <n v="1"/>
    <n v="3"/>
    <n v="2"/>
    <x v="0"/>
  </r>
  <r>
    <s v="10.1097/ACM.0000000000000716"/>
    <x v="27"/>
    <n v="2"/>
    <n v="2"/>
    <n v="0"/>
    <n v="0"/>
    <n v="0"/>
    <x v="1"/>
  </r>
  <r>
    <s v="10.1097/ACM.0000000000000568"/>
    <x v="27"/>
    <n v="2"/>
    <n v="2"/>
    <n v="0"/>
    <n v="0"/>
    <n v="0"/>
    <x v="0"/>
  </r>
  <r>
    <s v="10.1097/ACM.0000000000000640"/>
    <x v="27"/>
    <n v="12"/>
    <n v="12"/>
    <n v="12"/>
    <n v="12"/>
    <n v="0"/>
    <x v="1"/>
  </r>
  <r>
    <s v="10.1097/ACM.0000000000000464"/>
    <x v="27"/>
    <n v="2"/>
    <n v="2"/>
    <n v="2"/>
    <n v="5"/>
    <n v="3"/>
    <x v="0"/>
  </r>
  <r>
    <s v="10.1097/ACM.0000000000000585"/>
    <x v="27"/>
    <n v="1"/>
    <n v="1"/>
    <n v="1"/>
    <n v="2"/>
    <n v="1"/>
    <x v="0"/>
  </r>
  <r>
    <s v="10.1097/ACM.0000000000000768"/>
    <x v="27"/>
    <n v="1"/>
    <n v="1"/>
    <n v="1"/>
    <n v="1"/>
    <n v="0"/>
    <x v="1"/>
  </r>
  <r>
    <s v="10.1097/ACM.0000000000000717"/>
    <x v="27"/>
    <n v="1"/>
    <n v="1"/>
    <n v="1"/>
    <n v="1"/>
    <n v="0"/>
    <x v="0"/>
  </r>
  <r>
    <s v="10.1097/ACM.0000000000000816"/>
    <x v="27"/>
    <n v="1"/>
    <n v="1"/>
    <n v="1"/>
    <n v="1"/>
    <n v="0"/>
    <x v="0"/>
  </r>
  <r>
    <s v="10.1097/ACM.0000000000000792"/>
    <x v="27"/>
    <n v="1"/>
    <n v="1"/>
    <n v="1"/>
    <n v="1"/>
    <n v="0"/>
    <x v="1"/>
  </r>
  <r>
    <s v="10.1097/ACM.0000000000000631"/>
    <x v="27"/>
    <n v="1"/>
    <n v="1"/>
    <n v="1"/>
    <n v="1"/>
    <n v="0"/>
    <x v="1"/>
  </r>
  <r>
    <s v="10.1097/ACM.0000000000000442"/>
    <x v="27"/>
    <n v="1"/>
    <n v="1"/>
    <n v="1"/>
    <n v="1"/>
    <n v="0"/>
    <x v="0"/>
  </r>
  <r>
    <s v="10.1097/ACM.0000000000000579"/>
    <x v="27"/>
    <n v="1"/>
    <n v="1"/>
    <n v="1"/>
    <n v="2"/>
    <n v="1"/>
    <x v="1"/>
  </r>
  <r>
    <s v="10.1097/ACM.0000000000000686"/>
    <x v="27"/>
    <n v="1"/>
    <n v="1"/>
    <n v="1"/>
    <n v="1"/>
    <n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F6" firstHeaderRow="1" firstDataRow="3" firstDataCol="0"/>
  <pivotFields count="8">
    <pivotField showAll="0"/>
    <pivotField dataField="1" showAll="0">
      <items count="29"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dataField="1"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</pivotFields>
  <rowItems count="1">
    <i/>
  </rowItems>
  <colFields count="2">
    <field x="7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dataFields count="2">
    <dataField name="Sum of Unique Visitors" fld="1" baseField="0" baseItem="0"/>
    <dataField name="Sum of Visits Trend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59"/>
  <sheetViews>
    <sheetView zoomScale="85" zoomScaleNormal="85" workbookViewId="0">
      <selection sqref="A1:XFD1048576"/>
    </sheetView>
  </sheetViews>
  <sheetFormatPr baseColWidth="10" defaultColWidth="31.1640625" defaultRowHeight="15" x14ac:dyDescent="0.2"/>
  <sheetData>
    <row r="1" spans="1:10" x14ac:dyDescent="0.2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165</v>
      </c>
      <c r="I1" t="s">
        <v>172</v>
      </c>
      <c r="J1" t="s">
        <v>171</v>
      </c>
    </row>
    <row r="2" spans="1:10" x14ac:dyDescent="0.2">
      <c r="A2" t="s">
        <v>146</v>
      </c>
      <c r="B2">
        <v>1</v>
      </c>
      <c r="C2">
        <v>1</v>
      </c>
      <c r="D2">
        <v>1</v>
      </c>
      <c r="E2">
        <v>0</v>
      </c>
      <c r="F2">
        <v>0</v>
      </c>
      <c r="G2">
        <v>0</v>
      </c>
      <c r="H2">
        <v>1</v>
      </c>
      <c r="I2" s="3">
        <v>41701.5</v>
      </c>
      <c r="J2">
        <v>6</v>
      </c>
    </row>
    <row r="3" spans="1:10" x14ac:dyDescent="0.2">
      <c r="A3" t="s">
        <v>36</v>
      </c>
      <c r="B3">
        <v>10</v>
      </c>
      <c r="C3">
        <v>10</v>
      </c>
      <c r="D3">
        <v>10</v>
      </c>
      <c r="E3">
        <v>8</v>
      </c>
      <c r="F3">
        <v>10</v>
      </c>
      <c r="G3">
        <v>2</v>
      </c>
      <c r="H3">
        <v>1</v>
      </c>
      <c r="I3" s="3">
        <v>41762.5</v>
      </c>
      <c r="J3">
        <v>11</v>
      </c>
    </row>
    <row r="4" spans="1:10" x14ac:dyDescent="0.2">
      <c r="A4" t="s">
        <v>88</v>
      </c>
      <c r="B4">
        <v>3</v>
      </c>
      <c r="C4">
        <v>3</v>
      </c>
      <c r="D4">
        <v>3</v>
      </c>
      <c r="E4">
        <v>1</v>
      </c>
      <c r="F4">
        <v>2</v>
      </c>
      <c r="G4">
        <v>1</v>
      </c>
      <c r="H4">
        <v>1</v>
      </c>
      <c r="I4" s="3">
        <v>41719.5</v>
      </c>
      <c r="J4">
        <v>11</v>
      </c>
    </row>
    <row r="5" spans="1:10" x14ac:dyDescent="0.2">
      <c r="A5" t="s">
        <v>17</v>
      </c>
      <c r="B5">
        <v>22</v>
      </c>
      <c r="C5">
        <v>26</v>
      </c>
      <c r="D5">
        <v>28</v>
      </c>
      <c r="E5">
        <v>19</v>
      </c>
      <c r="F5">
        <v>28</v>
      </c>
      <c r="G5">
        <v>9</v>
      </c>
      <c r="H5">
        <v>1</v>
      </c>
      <c r="I5" s="3">
        <v>41733.5</v>
      </c>
      <c r="J5">
        <v>107</v>
      </c>
    </row>
    <row r="6" spans="1:10" x14ac:dyDescent="0.2">
      <c r="A6" t="s">
        <v>150</v>
      </c>
      <c r="B6">
        <v>1</v>
      </c>
      <c r="C6">
        <v>1</v>
      </c>
      <c r="D6">
        <v>2</v>
      </c>
      <c r="E6">
        <v>0</v>
      </c>
      <c r="F6">
        <v>0</v>
      </c>
      <c r="G6">
        <v>0</v>
      </c>
      <c r="H6">
        <v>1</v>
      </c>
      <c r="I6" s="3">
        <v>41682.5</v>
      </c>
      <c r="J6">
        <v>37</v>
      </c>
    </row>
    <row r="7" spans="1:10" x14ac:dyDescent="0.2">
      <c r="A7" t="s">
        <v>42</v>
      </c>
      <c r="B7">
        <v>9</v>
      </c>
      <c r="C7">
        <v>12</v>
      </c>
      <c r="D7">
        <v>14</v>
      </c>
      <c r="E7">
        <v>13</v>
      </c>
      <c r="F7">
        <v>13</v>
      </c>
      <c r="G7">
        <v>0</v>
      </c>
      <c r="H7">
        <v>1</v>
      </c>
      <c r="I7" s="3">
        <v>41689.5</v>
      </c>
      <c r="J7">
        <v>39</v>
      </c>
    </row>
    <row r="8" spans="1:10" x14ac:dyDescent="0.2">
      <c r="A8" t="s">
        <v>77</v>
      </c>
      <c r="B8">
        <v>5</v>
      </c>
      <c r="C8">
        <v>6</v>
      </c>
      <c r="D8">
        <v>5</v>
      </c>
      <c r="E8">
        <v>3</v>
      </c>
      <c r="F8">
        <v>7</v>
      </c>
      <c r="G8">
        <v>4</v>
      </c>
      <c r="H8">
        <v>1</v>
      </c>
      <c r="I8" s="3">
        <v>41675.5</v>
      </c>
      <c r="J8">
        <v>15</v>
      </c>
    </row>
    <row r="9" spans="1:10" x14ac:dyDescent="0.2">
      <c r="A9" t="s">
        <v>18</v>
      </c>
      <c r="B9">
        <v>20</v>
      </c>
      <c r="C9">
        <v>23</v>
      </c>
      <c r="D9">
        <v>27</v>
      </c>
      <c r="E9">
        <v>27</v>
      </c>
      <c r="F9">
        <v>29</v>
      </c>
      <c r="G9">
        <v>2</v>
      </c>
      <c r="H9">
        <v>1</v>
      </c>
      <c r="I9" s="3">
        <v>41696.5</v>
      </c>
      <c r="J9">
        <v>9</v>
      </c>
    </row>
    <row r="10" spans="1:10" x14ac:dyDescent="0.2">
      <c r="A10" t="s">
        <v>15</v>
      </c>
      <c r="B10">
        <v>24</v>
      </c>
      <c r="C10">
        <v>29</v>
      </c>
      <c r="D10">
        <v>37</v>
      </c>
      <c r="E10">
        <v>35</v>
      </c>
      <c r="F10">
        <v>40</v>
      </c>
      <c r="G10">
        <v>5</v>
      </c>
      <c r="H10">
        <v>1</v>
      </c>
      <c r="I10" s="3">
        <v>41708.5</v>
      </c>
      <c r="J10">
        <v>9</v>
      </c>
    </row>
    <row r="11" spans="1:10" x14ac:dyDescent="0.2">
      <c r="A11" t="s">
        <v>149</v>
      </c>
      <c r="B11">
        <v>1</v>
      </c>
      <c r="C11">
        <v>1</v>
      </c>
      <c r="D11">
        <v>1</v>
      </c>
      <c r="E11">
        <v>1</v>
      </c>
      <c r="F11">
        <v>2</v>
      </c>
      <c r="G11">
        <v>1</v>
      </c>
      <c r="H11">
        <v>1</v>
      </c>
      <c r="I11" s="3">
        <v>41686.5</v>
      </c>
      <c r="J11">
        <v>33</v>
      </c>
    </row>
    <row r="12" spans="1:10" x14ac:dyDescent="0.2">
      <c r="A12" t="s">
        <v>52</v>
      </c>
      <c r="B12">
        <v>7</v>
      </c>
      <c r="C12">
        <v>10</v>
      </c>
      <c r="D12">
        <v>10</v>
      </c>
      <c r="E12">
        <v>1</v>
      </c>
      <c r="F12">
        <v>2</v>
      </c>
      <c r="G12">
        <v>1</v>
      </c>
      <c r="H12">
        <v>1</v>
      </c>
      <c r="I12" s="3">
        <v>41724.5</v>
      </c>
      <c r="J12">
        <v>16</v>
      </c>
    </row>
    <row r="13" spans="1:10" x14ac:dyDescent="0.2">
      <c r="A13" t="s">
        <v>9</v>
      </c>
      <c r="B13">
        <v>32</v>
      </c>
      <c r="C13">
        <v>35</v>
      </c>
      <c r="D13">
        <v>43</v>
      </c>
      <c r="E13">
        <v>36</v>
      </c>
      <c r="F13">
        <v>49</v>
      </c>
      <c r="G13">
        <v>13</v>
      </c>
      <c r="H13">
        <v>1</v>
      </c>
      <c r="I13" s="3">
        <v>41766.5</v>
      </c>
      <c r="J13">
        <v>10</v>
      </c>
    </row>
    <row r="14" spans="1:10" x14ac:dyDescent="0.2">
      <c r="A14" t="s">
        <v>50</v>
      </c>
      <c r="B14">
        <v>7</v>
      </c>
      <c r="C14">
        <v>7</v>
      </c>
      <c r="D14">
        <v>6</v>
      </c>
      <c r="E14">
        <v>5</v>
      </c>
      <c r="F14">
        <v>7</v>
      </c>
      <c r="G14">
        <v>2</v>
      </c>
      <c r="H14">
        <v>1</v>
      </c>
      <c r="I14" s="3">
        <v>41759.5</v>
      </c>
      <c r="J14">
        <v>48</v>
      </c>
    </row>
    <row r="15" spans="1:10" x14ac:dyDescent="0.2">
      <c r="A15" t="s">
        <v>44</v>
      </c>
      <c r="B15">
        <v>8</v>
      </c>
      <c r="C15">
        <v>8</v>
      </c>
      <c r="D15">
        <v>8</v>
      </c>
      <c r="E15">
        <v>7</v>
      </c>
      <c r="F15">
        <v>9</v>
      </c>
      <c r="G15">
        <v>2</v>
      </c>
      <c r="H15">
        <v>1</v>
      </c>
      <c r="I15" s="3">
        <v>41730.5</v>
      </c>
      <c r="J15">
        <v>10</v>
      </c>
    </row>
    <row r="16" spans="1:10" x14ac:dyDescent="0.2">
      <c r="A16" t="s">
        <v>45</v>
      </c>
      <c r="B16">
        <v>8</v>
      </c>
      <c r="C16">
        <v>8</v>
      </c>
      <c r="D16">
        <v>9</v>
      </c>
      <c r="E16">
        <v>7</v>
      </c>
      <c r="F16">
        <v>9</v>
      </c>
      <c r="G16">
        <v>2</v>
      </c>
      <c r="H16">
        <v>1</v>
      </c>
      <c r="I16" s="3">
        <v>41677.5</v>
      </c>
      <c r="J16">
        <v>15</v>
      </c>
    </row>
    <row r="17" spans="1:10" x14ac:dyDescent="0.2">
      <c r="A17" t="s">
        <v>85</v>
      </c>
      <c r="B17">
        <v>4</v>
      </c>
      <c r="C17">
        <v>4</v>
      </c>
      <c r="D17">
        <v>10</v>
      </c>
      <c r="E17">
        <v>6</v>
      </c>
      <c r="F17">
        <v>6</v>
      </c>
      <c r="G17">
        <v>0</v>
      </c>
      <c r="H17">
        <v>1</v>
      </c>
      <c r="I17" s="3">
        <v>41725.5</v>
      </c>
      <c r="J17">
        <v>13</v>
      </c>
    </row>
    <row r="18" spans="1:10" x14ac:dyDescent="0.2">
      <c r="A18" t="s">
        <v>160</v>
      </c>
      <c r="B18">
        <v>1</v>
      </c>
      <c r="C18">
        <v>1</v>
      </c>
      <c r="D18">
        <v>1</v>
      </c>
      <c r="E18">
        <v>1</v>
      </c>
      <c r="F18">
        <v>1</v>
      </c>
      <c r="G18">
        <v>0</v>
      </c>
      <c r="H18">
        <v>1</v>
      </c>
      <c r="I18" s="3">
        <v>41714.5</v>
      </c>
      <c r="J18">
        <v>13</v>
      </c>
    </row>
    <row r="19" spans="1:10" x14ac:dyDescent="0.2">
      <c r="A19" t="s">
        <v>32</v>
      </c>
      <c r="B19">
        <v>12</v>
      </c>
      <c r="C19">
        <v>12</v>
      </c>
      <c r="D19">
        <v>14</v>
      </c>
      <c r="E19">
        <v>10</v>
      </c>
      <c r="F19">
        <v>13</v>
      </c>
      <c r="G19">
        <v>3</v>
      </c>
      <c r="H19">
        <v>1</v>
      </c>
      <c r="I19" s="3">
        <v>41752.5</v>
      </c>
      <c r="J19">
        <v>4</v>
      </c>
    </row>
    <row r="20" spans="1:10" x14ac:dyDescent="0.2">
      <c r="A20" t="s">
        <v>69</v>
      </c>
      <c r="B20">
        <v>6</v>
      </c>
      <c r="C20">
        <v>6</v>
      </c>
      <c r="D20">
        <v>7</v>
      </c>
      <c r="E20">
        <v>7</v>
      </c>
      <c r="F20">
        <v>9</v>
      </c>
      <c r="G20">
        <v>2</v>
      </c>
      <c r="H20">
        <v>1</v>
      </c>
      <c r="I20" s="3">
        <v>41704.5</v>
      </c>
      <c r="J20">
        <v>12</v>
      </c>
    </row>
    <row r="21" spans="1:10" x14ac:dyDescent="0.2">
      <c r="A21" t="s">
        <v>110</v>
      </c>
      <c r="B21">
        <v>2</v>
      </c>
      <c r="C21">
        <v>2</v>
      </c>
      <c r="D21">
        <v>3</v>
      </c>
      <c r="E21">
        <v>3</v>
      </c>
      <c r="F21">
        <v>4</v>
      </c>
      <c r="G21">
        <v>1</v>
      </c>
      <c r="H21">
        <v>1</v>
      </c>
      <c r="I21" s="3">
        <v>41746.5</v>
      </c>
      <c r="J21">
        <v>6</v>
      </c>
    </row>
    <row r="22" spans="1:10" x14ac:dyDescent="0.2">
      <c r="A22" t="s">
        <v>157</v>
      </c>
      <c r="B22">
        <v>1</v>
      </c>
      <c r="C22">
        <v>1</v>
      </c>
      <c r="D22">
        <v>1</v>
      </c>
      <c r="E22">
        <v>1</v>
      </c>
      <c r="F22">
        <v>1</v>
      </c>
      <c r="G22">
        <v>0</v>
      </c>
      <c r="H22">
        <v>1</v>
      </c>
      <c r="I22" s="3">
        <v>41693.5</v>
      </c>
      <c r="J22">
        <v>73</v>
      </c>
    </row>
    <row r="23" spans="1:10" x14ac:dyDescent="0.2">
      <c r="A23" t="s">
        <v>66</v>
      </c>
      <c r="B23">
        <v>6</v>
      </c>
      <c r="C23">
        <v>8</v>
      </c>
      <c r="D23">
        <v>9</v>
      </c>
      <c r="E23">
        <v>6</v>
      </c>
      <c r="F23">
        <v>7</v>
      </c>
      <c r="G23">
        <v>1</v>
      </c>
      <c r="H23">
        <v>1</v>
      </c>
      <c r="I23" s="3">
        <v>41757.5</v>
      </c>
      <c r="J23">
        <v>4</v>
      </c>
    </row>
    <row r="24" spans="1:10" x14ac:dyDescent="0.2">
      <c r="A24" t="s">
        <v>72</v>
      </c>
      <c r="B24">
        <v>5</v>
      </c>
      <c r="C24">
        <v>5</v>
      </c>
      <c r="D24">
        <v>5</v>
      </c>
      <c r="E24">
        <v>5</v>
      </c>
      <c r="F24">
        <v>7</v>
      </c>
      <c r="G24">
        <v>2</v>
      </c>
      <c r="H24">
        <v>1</v>
      </c>
      <c r="I24" s="3">
        <v>41741.5</v>
      </c>
      <c r="J24">
        <v>3</v>
      </c>
    </row>
    <row r="25" spans="1:10" x14ac:dyDescent="0.2">
      <c r="A25" t="s">
        <v>96</v>
      </c>
      <c r="B25">
        <v>3</v>
      </c>
      <c r="C25">
        <v>3</v>
      </c>
      <c r="D25">
        <v>4</v>
      </c>
      <c r="E25">
        <v>3</v>
      </c>
      <c r="F25">
        <v>3</v>
      </c>
      <c r="G25">
        <v>0</v>
      </c>
      <c r="H25">
        <v>1</v>
      </c>
      <c r="I25" s="3">
        <v>41767.5</v>
      </c>
      <c r="J25">
        <v>10</v>
      </c>
    </row>
    <row r="26" spans="1:10" x14ac:dyDescent="0.2">
      <c r="A26" t="s">
        <v>81</v>
      </c>
      <c r="B26">
        <v>4</v>
      </c>
      <c r="C26">
        <v>4</v>
      </c>
      <c r="D26">
        <v>7</v>
      </c>
      <c r="E26">
        <v>3</v>
      </c>
      <c r="F26">
        <v>4</v>
      </c>
      <c r="G26">
        <v>1</v>
      </c>
      <c r="H26">
        <v>1</v>
      </c>
      <c r="I26" s="3">
        <v>41732.5</v>
      </c>
      <c r="J26">
        <v>8</v>
      </c>
    </row>
    <row r="27" spans="1:10" x14ac:dyDescent="0.2">
      <c r="A27" t="s">
        <v>13</v>
      </c>
      <c r="B27">
        <v>25</v>
      </c>
      <c r="C27">
        <v>30</v>
      </c>
      <c r="D27">
        <v>36</v>
      </c>
      <c r="E27">
        <v>23</v>
      </c>
      <c r="F27">
        <v>34</v>
      </c>
      <c r="G27">
        <v>11</v>
      </c>
      <c r="H27">
        <v>1</v>
      </c>
      <c r="I27" s="3">
        <v>41731.5</v>
      </c>
      <c r="J27">
        <v>30</v>
      </c>
    </row>
    <row r="28" spans="1:10" x14ac:dyDescent="0.2">
      <c r="A28" t="s">
        <v>61</v>
      </c>
      <c r="B28">
        <v>6</v>
      </c>
      <c r="C28">
        <v>9</v>
      </c>
      <c r="D28">
        <v>8</v>
      </c>
      <c r="E28">
        <v>6</v>
      </c>
      <c r="F28">
        <v>9</v>
      </c>
      <c r="G28">
        <v>3</v>
      </c>
      <c r="H28">
        <v>1</v>
      </c>
      <c r="I28" s="3">
        <v>41723.5</v>
      </c>
      <c r="J28">
        <v>0</v>
      </c>
    </row>
    <row r="29" spans="1:10" x14ac:dyDescent="0.2">
      <c r="A29" t="s">
        <v>34</v>
      </c>
      <c r="B29">
        <v>10</v>
      </c>
      <c r="C29">
        <v>10</v>
      </c>
      <c r="D29">
        <v>11</v>
      </c>
      <c r="E29">
        <v>9</v>
      </c>
      <c r="F29">
        <v>17</v>
      </c>
      <c r="G29">
        <v>8</v>
      </c>
      <c r="H29">
        <v>1</v>
      </c>
      <c r="I29" s="3">
        <v>41735.5</v>
      </c>
      <c r="J29">
        <v>4</v>
      </c>
    </row>
    <row r="30" spans="1:10" x14ac:dyDescent="0.2">
      <c r="A30" t="s">
        <v>152</v>
      </c>
      <c r="B30">
        <v>1</v>
      </c>
      <c r="C30">
        <v>2</v>
      </c>
      <c r="D30">
        <v>2</v>
      </c>
      <c r="E30">
        <v>0</v>
      </c>
      <c r="F30">
        <v>0</v>
      </c>
      <c r="G30">
        <v>0</v>
      </c>
      <c r="H30">
        <v>1</v>
      </c>
      <c r="I30" s="3">
        <v>41717.5</v>
      </c>
      <c r="J30">
        <v>3</v>
      </c>
    </row>
    <row r="31" spans="1:10" x14ac:dyDescent="0.2">
      <c r="A31" t="s">
        <v>14</v>
      </c>
      <c r="B31">
        <v>24</v>
      </c>
      <c r="C31">
        <v>28</v>
      </c>
      <c r="D31">
        <v>29</v>
      </c>
      <c r="E31">
        <v>29</v>
      </c>
      <c r="F31">
        <v>35</v>
      </c>
      <c r="G31">
        <v>6</v>
      </c>
      <c r="H31">
        <v>1</v>
      </c>
      <c r="I31" s="3">
        <v>41737.5</v>
      </c>
      <c r="J31">
        <v>78</v>
      </c>
    </row>
    <row r="32" spans="1:10" x14ac:dyDescent="0.2">
      <c r="A32" t="s">
        <v>103</v>
      </c>
      <c r="B32">
        <v>2</v>
      </c>
      <c r="C32">
        <v>2</v>
      </c>
      <c r="D32">
        <v>2</v>
      </c>
      <c r="E32">
        <v>1</v>
      </c>
      <c r="F32">
        <v>2</v>
      </c>
      <c r="G32">
        <v>1</v>
      </c>
      <c r="H32">
        <v>1</v>
      </c>
      <c r="I32" s="3">
        <v>41715.5</v>
      </c>
      <c r="J32">
        <v>34</v>
      </c>
    </row>
    <row r="33" spans="1:10" x14ac:dyDescent="0.2">
      <c r="A33" t="s">
        <v>107</v>
      </c>
      <c r="B33">
        <v>2</v>
      </c>
      <c r="C33">
        <v>2</v>
      </c>
      <c r="D33">
        <v>2</v>
      </c>
      <c r="E33">
        <v>1</v>
      </c>
      <c r="F33">
        <v>3</v>
      </c>
      <c r="G33">
        <v>2</v>
      </c>
      <c r="H33">
        <v>1</v>
      </c>
      <c r="I33" s="3">
        <v>41749.5</v>
      </c>
      <c r="J33">
        <v>28</v>
      </c>
    </row>
    <row r="34" spans="1:10" x14ac:dyDescent="0.2">
      <c r="A34" t="s">
        <v>111</v>
      </c>
      <c r="B34">
        <v>2</v>
      </c>
      <c r="C34">
        <v>2</v>
      </c>
      <c r="D34">
        <v>2</v>
      </c>
      <c r="E34">
        <v>0</v>
      </c>
      <c r="F34">
        <v>0</v>
      </c>
      <c r="G34">
        <v>0</v>
      </c>
      <c r="H34">
        <v>1</v>
      </c>
      <c r="I34" s="3">
        <v>41753.5</v>
      </c>
      <c r="J34">
        <v>12</v>
      </c>
    </row>
    <row r="35" spans="1:10" x14ac:dyDescent="0.2">
      <c r="A35" t="s">
        <v>164</v>
      </c>
      <c r="B35">
        <v>1</v>
      </c>
      <c r="C35">
        <v>1</v>
      </c>
      <c r="D35">
        <v>1</v>
      </c>
      <c r="E35">
        <v>1</v>
      </c>
      <c r="F35">
        <v>1</v>
      </c>
      <c r="G35">
        <v>0</v>
      </c>
      <c r="H35">
        <v>1</v>
      </c>
      <c r="I35" s="3">
        <v>41747.5</v>
      </c>
      <c r="J35">
        <v>14</v>
      </c>
    </row>
    <row r="36" spans="1:10" x14ac:dyDescent="0.2">
      <c r="A36" t="s">
        <v>49</v>
      </c>
      <c r="B36">
        <v>7</v>
      </c>
      <c r="C36">
        <v>8</v>
      </c>
      <c r="D36">
        <v>7</v>
      </c>
      <c r="E36">
        <v>7</v>
      </c>
      <c r="F36">
        <v>8</v>
      </c>
      <c r="G36">
        <v>1</v>
      </c>
      <c r="H36">
        <v>1</v>
      </c>
      <c r="I36" s="3">
        <v>41690.5</v>
      </c>
      <c r="J36">
        <v>0</v>
      </c>
    </row>
    <row r="37" spans="1:10" x14ac:dyDescent="0.2">
      <c r="A37" t="s">
        <v>60</v>
      </c>
      <c r="B37">
        <v>6</v>
      </c>
      <c r="C37">
        <v>6</v>
      </c>
      <c r="D37">
        <v>6</v>
      </c>
      <c r="E37">
        <v>5</v>
      </c>
      <c r="F37">
        <v>9</v>
      </c>
      <c r="G37">
        <v>4</v>
      </c>
      <c r="H37">
        <v>1</v>
      </c>
      <c r="I37" s="3">
        <v>41676.5</v>
      </c>
      <c r="J37">
        <v>3</v>
      </c>
    </row>
    <row r="38" spans="1:10" x14ac:dyDescent="0.2">
      <c r="A38" t="s">
        <v>11</v>
      </c>
      <c r="B38">
        <v>27</v>
      </c>
      <c r="C38">
        <v>27</v>
      </c>
      <c r="D38">
        <v>33</v>
      </c>
      <c r="E38">
        <v>27</v>
      </c>
      <c r="F38">
        <v>30</v>
      </c>
      <c r="G38">
        <v>3</v>
      </c>
      <c r="H38">
        <v>1</v>
      </c>
      <c r="I38" s="3">
        <v>41764.5</v>
      </c>
      <c r="J38">
        <v>12</v>
      </c>
    </row>
    <row r="39" spans="1:10" x14ac:dyDescent="0.2">
      <c r="A39" t="s">
        <v>95</v>
      </c>
      <c r="B39">
        <v>3</v>
      </c>
      <c r="C39">
        <v>3</v>
      </c>
      <c r="D39">
        <v>3</v>
      </c>
      <c r="E39">
        <v>3</v>
      </c>
      <c r="F39">
        <v>4</v>
      </c>
      <c r="G39">
        <v>1</v>
      </c>
      <c r="H39">
        <v>1</v>
      </c>
      <c r="I39" s="3">
        <v>41706.5</v>
      </c>
      <c r="J39">
        <v>29</v>
      </c>
    </row>
    <row r="40" spans="1:10" x14ac:dyDescent="0.2">
      <c r="A40" t="s">
        <v>114</v>
      </c>
      <c r="B40">
        <v>2</v>
      </c>
      <c r="C40">
        <v>3</v>
      </c>
      <c r="D40">
        <v>3</v>
      </c>
      <c r="E40">
        <v>3</v>
      </c>
      <c r="F40">
        <v>3</v>
      </c>
      <c r="G40">
        <v>0</v>
      </c>
      <c r="H40">
        <v>1</v>
      </c>
      <c r="I40" s="3">
        <v>41748.5</v>
      </c>
      <c r="J40">
        <v>13</v>
      </c>
    </row>
    <row r="41" spans="1:10" x14ac:dyDescent="0.2">
      <c r="A41" t="s">
        <v>133</v>
      </c>
      <c r="B41">
        <v>1</v>
      </c>
      <c r="C41">
        <v>1</v>
      </c>
      <c r="D41">
        <v>1</v>
      </c>
      <c r="E41">
        <v>1</v>
      </c>
      <c r="F41">
        <v>1</v>
      </c>
      <c r="G41">
        <v>0</v>
      </c>
      <c r="H41">
        <v>1</v>
      </c>
      <c r="I41" s="3">
        <v>41716.5</v>
      </c>
      <c r="J41">
        <v>3</v>
      </c>
    </row>
    <row r="42" spans="1:10" x14ac:dyDescent="0.2">
      <c r="A42" t="s">
        <v>73</v>
      </c>
      <c r="B42">
        <v>5</v>
      </c>
      <c r="C42">
        <v>6</v>
      </c>
      <c r="D42">
        <v>7</v>
      </c>
      <c r="E42">
        <v>5</v>
      </c>
      <c r="F42">
        <v>6</v>
      </c>
      <c r="G42">
        <v>1</v>
      </c>
      <c r="H42">
        <v>1</v>
      </c>
      <c r="I42" s="3">
        <v>41756.5</v>
      </c>
      <c r="J42">
        <v>16</v>
      </c>
    </row>
    <row r="43" spans="1:10" x14ac:dyDescent="0.2">
      <c r="A43" t="s">
        <v>139</v>
      </c>
      <c r="B43">
        <v>1</v>
      </c>
      <c r="C43">
        <v>1</v>
      </c>
      <c r="D43">
        <v>0</v>
      </c>
      <c r="E43">
        <v>0</v>
      </c>
      <c r="F43">
        <v>1</v>
      </c>
      <c r="G43">
        <v>1</v>
      </c>
      <c r="H43">
        <v>1</v>
      </c>
      <c r="I43" s="3">
        <v>41755.5</v>
      </c>
      <c r="J43">
        <v>13</v>
      </c>
    </row>
    <row r="44" spans="1:10" x14ac:dyDescent="0.2">
      <c r="A44" t="s">
        <v>25</v>
      </c>
      <c r="B44">
        <v>15</v>
      </c>
      <c r="C44">
        <v>16</v>
      </c>
      <c r="D44">
        <v>18</v>
      </c>
      <c r="E44">
        <v>15</v>
      </c>
      <c r="F44">
        <v>23</v>
      </c>
      <c r="G44">
        <v>8</v>
      </c>
      <c r="H44">
        <v>1</v>
      </c>
      <c r="I44" s="3">
        <v>41712.5</v>
      </c>
      <c r="J44">
        <v>11</v>
      </c>
    </row>
    <row r="45" spans="1:10" x14ac:dyDescent="0.2">
      <c r="A45" t="s">
        <v>59</v>
      </c>
      <c r="B45">
        <v>6</v>
      </c>
      <c r="C45">
        <v>6</v>
      </c>
      <c r="D45">
        <v>6</v>
      </c>
      <c r="E45">
        <v>6</v>
      </c>
      <c r="F45">
        <v>7</v>
      </c>
      <c r="G45">
        <v>1</v>
      </c>
      <c r="H45">
        <v>1</v>
      </c>
      <c r="I45" s="3">
        <v>41761.5</v>
      </c>
      <c r="J45">
        <v>26</v>
      </c>
    </row>
    <row r="46" spans="1:10" x14ac:dyDescent="0.2">
      <c r="A46" t="s">
        <v>8</v>
      </c>
      <c r="B46">
        <v>68</v>
      </c>
      <c r="C46">
        <v>74</v>
      </c>
      <c r="D46">
        <v>81</v>
      </c>
      <c r="E46">
        <v>76</v>
      </c>
      <c r="F46">
        <v>81</v>
      </c>
      <c r="G46">
        <v>5</v>
      </c>
      <c r="H46">
        <v>1</v>
      </c>
      <c r="I46" s="3">
        <v>41734.5</v>
      </c>
      <c r="J46">
        <v>26</v>
      </c>
    </row>
    <row r="47" spans="1:10" x14ac:dyDescent="0.2">
      <c r="A47" t="s">
        <v>154</v>
      </c>
      <c r="B47">
        <v>1</v>
      </c>
      <c r="C47">
        <v>12</v>
      </c>
      <c r="D47">
        <v>12</v>
      </c>
      <c r="E47">
        <v>12</v>
      </c>
      <c r="F47">
        <v>12</v>
      </c>
      <c r="G47">
        <v>0</v>
      </c>
      <c r="H47">
        <v>1</v>
      </c>
      <c r="I47" s="3">
        <v>41698.5</v>
      </c>
      <c r="J47">
        <v>27</v>
      </c>
    </row>
    <row r="48" spans="1:10" x14ac:dyDescent="0.2">
      <c r="A48" t="s">
        <v>106</v>
      </c>
      <c r="B48">
        <v>2</v>
      </c>
      <c r="C48">
        <v>2</v>
      </c>
      <c r="D48">
        <v>2</v>
      </c>
      <c r="E48">
        <v>2</v>
      </c>
      <c r="F48">
        <v>2</v>
      </c>
      <c r="G48">
        <v>0</v>
      </c>
      <c r="H48">
        <v>1</v>
      </c>
      <c r="I48" s="3">
        <v>41711.5</v>
      </c>
      <c r="J48">
        <v>53</v>
      </c>
    </row>
    <row r="49" spans="1:10" x14ac:dyDescent="0.2">
      <c r="A49" t="s">
        <v>134</v>
      </c>
      <c r="B49">
        <v>1</v>
      </c>
      <c r="C49">
        <v>1</v>
      </c>
      <c r="D49">
        <v>1</v>
      </c>
      <c r="E49">
        <v>1</v>
      </c>
      <c r="F49">
        <v>1</v>
      </c>
      <c r="G49">
        <v>0</v>
      </c>
      <c r="H49">
        <v>1</v>
      </c>
      <c r="I49" s="3">
        <v>41739.5</v>
      </c>
      <c r="J49">
        <v>62</v>
      </c>
    </row>
    <row r="50" spans="1:10" x14ac:dyDescent="0.2">
      <c r="A50" t="s">
        <v>161</v>
      </c>
      <c r="B50">
        <v>1</v>
      </c>
      <c r="C50">
        <v>1</v>
      </c>
      <c r="D50">
        <v>1</v>
      </c>
      <c r="E50">
        <v>1</v>
      </c>
      <c r="F50">
        <v>1</v>
      </c>
      <c r="G50">
        <v>0</v>
      </c>
      <c r="H50">
        <v>1</v>
      </c>
      <c r="I50" s="3">
        <v>41709.5</v>
      </c>
      <c r="J50">
        <v>12</v>
      </c>
    </row>
    <row r="51" spans="1:10" x14ac:dyDescent="0.2">
      <c r="A51" t="s">
        <v>24</v>
      </c>
      <c r="B51">
        <v>16</v>
      </c>
      <c r="C51">
        <v>19</v>
      </c>
      <c r="D51">
        <v>23</v>
      </c>
      <c r="E51">
        <v>18</v>
      </c>
      <c r="F51">
        <v>21</v>
      </c>
      <c r="G51">
        <v>3</v>
      </c>
      <c r="H51">
        <v>1</v>
      </c>
      <c r="I51" s="3">
        <v>41695.5</v>
      </c>
      <c r="J51">
        <v>31</v>
      </c>
    </row>
    <row r="52" spans="1:10" x14ac:dyDescent="0.2">
      <c r="A52" t="s">
        <v>138</v>
      </c>
      <c r="B52">
        <v>1</v>
      </c>
      <c r="C52">
        <v>1</v>
      </c>
      <c r="D52">
        <v>1</v>
      </c>
      <c r="E52">
        <v>1</v>
      </c>
      <c r="F52">
        <v>1</v>
      </c>
      <c r="G52">
        <v>0</v>
      </c>
      <c r="H52">
        <v>1</v>
      </c>
      <c r="I52" s="3">
        <v>41754.5</v>
      </c>
      <c r="J52">
        <v>11</v>
      </c>
    </row>
    <row r="53" spans="1:10" x14ac:dyDescent="0.2">
      <c r="A53" t="s">
        <v>58</v>
      </c>
      <c r="B53">
        <v>7</v>
      </c>
      <c r="C53">
        <v>7</v>
      </c>
      <c r="D53">
        <v>9</v>
      </c>
      <c r="E53">
        <v>8</v>
      </c>
      <c r="F53">
        <v>10</v>
      </c>
      <c r="G53">
        <v>2</v>
      </c>
      <c r="H53">
        <v>1</v>
      </c>
      <c r="I53" s="3">
        <v>41710.5</v>
      </c>
      <c r="J53">
        <v>10</v>
      </c>
    </row>
    <row r="54" spans="1:10" x14ac:dyDescent="0.2">
      <c r="A54" t="s">
        <v>108</v>
      </c>
      <c r="B54">
        <v>2</v>
      </c>
      <c r="C54">
        <v>2</v>
      </c>
      <c r="D54">
        <v>7</v>
      </c>
      <c r="E54">
        <v>1</v>
      </c>
      <c r="F54">
        <v>2</v>
      </c>
      <c r="G54">
        <v>1</v>
      </c>
      <c r="H54">
        <v>1</v>
      </c>
      <c r="I54" s="3">
        <v>41758.5</v>
      </c>
      <c r="J54">
        <v>7</v>
      </c>
    </row>
    <row r="55" spans="1:10" x14ac:dyDescent="0.2">
      <c r="A55" t="s">
        <v>20</v>
      </c>
      <c r="B55">
        <v>19</v>
      </c>
      <c r="C55">
        <v>26</v>
      </c>
      <c r="D55">
        <v>29</v>
      </c>
      <c r="E55">
        <v>23</v>
      </c>
      <c r="F55">
        <v>29</v>
      </c>
      <c r="G55">
        <v>6</v>
      </c>
      <c r="H55">
        <v>1</v>
      </c>
      <c r="I55" s="3">
        <v>41729.5</v>
      </c>
      <c r="J55">
        <v>35</v>
      </c>
    </row>
    <row r="56" spans="1:10" x14ac:dyDescent="0.2">
      <c r="A56" t="s">
        <v>93</v>
      </c>
      <c r="B56">
        <v>3</v>
      </c>
      <c r="C56">
        <v>5</v>
      </c>
      <c r="D56">
        <v>5</v>
      </c>
      <c r="E56">
        <v>2</v>
      </c>
      <c r="F56">
        <v>2</v>
      </c>
      <c r="G56">
        <v>0</v>
      </c>
      <c r="H56">
        <v>1</v>
      </c>
      <c r="I56" s="3">
        <v>41694.5</v>
      </c>
      <c r="J56">
        <v>16</v>
      </c>
    </row>
    <row r="57" spans="1:10" x14ac:dyDescent="0.2">
      <c r="A57" t="s">
        <v>40</v>
      </c>
      <c r="B57">
        <v>9</v>
      </c>
      <c r="C57">
        <v>12</v>
      </c>
      <c r="D57">
        <v>12</v>
      </c>
      <c r="E57">
        <v>12</v>
      </c>
      <c r="F57">
        <v>13</v>
      </c>
      <c r="G57">
        <v>1</v>
      </c>
      <c r="H57">
        <v>1</v>
      </c>
      <c r="I57" s="3">
        <v>41763.5</v>
      </c>
      <c r="J57">
        <v>14</v>
      </c>
    </row>
    <row r="58" spans="1:10" x14ac:dyDescent="0.2">
      <c r="A58" t="s">
        <v>37</v>
      </c>
      <c r="B58">
        <v>9</v>
      </c>
      <c r="C58">
        <v>9</v>
      </c>
      <c r="D58">
        <v>10</v>
      </c>
      <c r="E58">
        <v>6</v>
      </c>
      <c r="F58">
        <v>6</v>
      </c>
      <c r="G58">
        <v>0</v>
      </c>
      <c r="H58">
        <v>1</v>
      </c>
      <c r="I58" s="3">
        <v>41679.5</v>
      </c>
      <c r="J58">
        <v>8</v>
      </c>
    </row>
    <row r="59" spans="1:10" x14ac:dyDescent="0.2">
      <c r="A59" t="s">
        <v>46</v>
      </c>
      <c r="B59">
        <v>8</v>
      </c>
      <c r="C59">
        <v>10</v>
      </c>
      <c r="D59">
        <v>12</v>
      </c>
      <c r="E59">
        <v>4</v>
      </c>
      <c r="F59">
        <v>7</v>
      </c>
      <c r="G59">
        <v>3</v>
      </c>
      <c r="H59">
        <v>1</v>
      </c>
      <c r="I59" s="3">
        <v>41687.5</v>
      </c>
      <c r="J59">
        <v>17</v>
      </c>
    </row>
    <row r="60" spans="1:10" x14ac:dyDescent="0.2">
      <c r="A60" t="s">
        <v>116</v>
      </c>
      <c r="B60">
        <v>2</v>
      </c>
      <c r="C60">
        <v>3</v>
      </c>
      <c r="D60">
        <v>3</v>
      </c>
      <c r="E60">
        <v>3</v>
      </c>
      <c r="F60">
        <v>3</v>
      </c>
      <c r="G60">
        <v>0</v>
      </c>
      <c r="H60">
        <v>1</v>
      </c>
      <c r="I60" s="3">
        <v>41742.5</v>
      </c>
      <c r="J60">
        <v>16</v>
      </c>
    </row>
    <row r="61" spans="1:10" x14ac:dyDescent="0.2">
      <c r="A61" t="s">
        <v>104</v>
      </c>
      <c r="B61">
        <v>2</v>
      </c>
      <c r="C61">
        <v>2</v>
      </c>
      <c r="D61">
        <v>2</v>
      </c>
      <c r="E61">
        <v>1</v>
      </c>
      <c r="F61">
        <v>1</v>
      </c>
      <c r="G61">
        <v>0</v>
      </c>
      <c r="H61">
        <v>1</v>
      </c>
      <c r="I61" s="3">
        <v>41697.5</v>
      </c>
      <c r="J61">
        <v>23</v>
      </c>
    </row>
    <row r="62" spans="1:10" x14ac:dyDescent="0.2">
      <c r="A62" t="s">
        <v>21</v>
      </c>
      <c r="B62">
        <v>18</v>
      </c>
      <c r="C62">
        <v>18</v>
      </c>
      <c r="D62">
        <v>20</v>
      </c>
      <c r="E62">
        <v>13</v>
      </c>
      <c r="F62">
        <v>25</v>
      </c>
      <c r="G62">
        <v>12</v>
      </c>
      <c r="H62">
        <v>1</v>
      </c>
      <c r="I62" s="3">
        <v>41692.5</v>
      </c>
      <c r="J62">
        <v>17</v>
      </c>
    </row>
    <row r="63" spans="1:10" x14ac:dyDescent="0.2">
      <c r="A63" t="s">
        <v>127</v>
      </c>
      <c r="B63">
        <v>2</v>
      </c>
      <c r="C63">
        <v>2</v>
      </c>
      <c r="D63">
        <v>2</v>
      </c>
      <c r="E63">
        <v>2</v>
      </c>
      <c r="F63">
        <v>3</v>
      </c>
      <c r="G63">
        <v>1</v>
      </c>
      <c r="H63">
        <v>1</v>
      </c>
      <c r="I63" s="3">
        <v>41678.5</v>
      </c>
      <c r="J63">
        <v>22</v>
      </c>
    </row>
    <row r="64" spans="1:10" x14ac:dyDescent="0.2">
      <c r="A64" t="s">
        <v>117</v>
      </c>
      <c r="B64">
        <v>2</v>
      </c>
      <c r="C64">
        <v>4</v>
      </c>
      <c r="D64">
        <v>4</v>
      </c>
      <c r="E64">
        <v>4</v>
      </c>
      <c r="F64">
        <v>6</v>
      </c>
      <c r="G64">
        <v>2</v>
      </c>
      <c r="H64">
        <v>1</v>
      </c>
      <c r="I64" s="3">
        <v>41674.5</v>
      </c>
      <c r="J64">
        <v>36</v>
      </c>
    </row>
    <row r="65" spans="1:10" x14ac:dyDescent="0.2">
      <c r="A65" t="s">
        <v>163</v>
      </c>
      <c r="B65">
        <v>1</v>
      </c>
      <c r="C65">
        <v>1</v>
      </c>
      <c r="D65">
        <v>1</v>
      </c>
      <c r="E65">
        <v>1</v>
      </c>
      <c r="F65">
        <v>2</v>
      </c>
      <c r="G65">
        <v>1</v>
      </c>
      <c r="H65">
        <v>1</v>
      </c>
      <c r="I65" s="3">
        <v>41691.5</v>
      </c>
      <c r="J65">
        <v>10</v>
      </c>
    </row>
    <row r="66" spans="1:10" x14ac:dyDescent="0.2">
      <c r="A66" t="s">
        <v>105</v>
      </c>
      <c r="B66">
        <v>2</v>
      </c>
      <c r="C66">
        <v>2</v>
      </c>
      <c r="D66">
        <v>2</v>
      </c>
      <c r="E66">
        <v>1</v>
      </c>
      <c r="F66">
        <v>1</v>
      </c>
      <c r="G66">
        <v>0</v>
      </c>
      <c r="H66">
        <v>1</v>
      </c>
      <c r="I66" s="3">
        <v>41744.5</v>
      </c>
      <c r="J66">
        <v>123</v>
      </c>
    </row>
    <row r="67" spans="1:10" x14ac:dyDescent="0.2">
      <c r="A67" t="s">
        <v>12</v>
      </c>
      <c r="B67">
        <v>27</v>
      </c>
      <c r="C67">
        <v>30</v>
      </c>
      <c r="D67">
        <v>34</v>
      </c>
      <c r="E67">
        <v>31</v>
      </c>
      <c r="F67">
        <v>39</v>
      </c>
      <c r="G67">
        <v>8</v>
      </c>
      <c r="H67">
        <v>1</v>
      </c>
      <c r="I67" s="3">
        <v>41765.5</v>
      </c>
      <c r="J67">
        <v>12</v>
      </c>
    </row>
    <row r="68" spans="1:10" x14ac:dyDescent="0.2">
      <c r="A68" t="s">
        <v>130</v>
      </c>
      <c r="B68">
        <v>1</v>
      </c>
      <c r="C68">
        <v>1</v>
      </c>
      <c r="D68">
        <v>1</v>
      </c>
      <c r="E68">
        <v>1</v>
      </c>
      <c r="F68">
        <v>1</v>
      </c>
      <c r="G68">
        <v>0</v>
      </c>
      <c r="H68">
        <v>1</v>
      </c>
      <c r="I68" s="3">
        <v>41745.5</v>
      </c>
      <c r="J68">
        <v>6</v>
      </c>
    </row>
    <row r="69" spans="1:10" x14ac:dyDescent="0.2">
      <c r="A69" t="s">
        <v>94</v>
      </c>
      <c r="B69">
        <v>3</v>
      </c>
      <c r="C69">
        <v>3</v>
      </c>
      <c r="D69">
        <v>4</v>
      </c>
      <c r="E69">
        <v>2</v>
      </c>
      <c r="F69">
        <v>3</v>
      </c>
      <c r="G69">
        <v>1</v>
      </c>
      <c r="H69">
        <v>1</v>
      </c>
      <c r="I69" s="3">
        <v>41700.5</v>
      </c>
      <c r="J69">
        <v>9</v>
      </c>
    </row>
    <row r="70" spans="1:10" x14ac:dyDescent="0.2">
      <c r="A70" t="s">
        <v>84</v>
      </c>
      <c r="B70">
        <v>4</v>
      </c>
      <c r="C70">
        <v>5</v>
      </c>
      <c r="D70">
        <v>5</v>
      </c>
      <c r="E70">
        <v>2</v>
      </c>
      <c r="F70">
        <v>4</v>
      </c>
      <c r="G70">
        <v>2</v>
      </c>
      <c r="H70">
        <v>1</v>
      </c>
      <c r="I70" s="3">
        <v>41683.5</v>
      </c>
      <c r="J70">
        <v>11</v>
      </c>
    </row>
    <row r="71" spans="1:10" x14ac:dyDescent="0.2">
      <c r="A71" t="s">
        <v>99</v>
      </c>
      <c r="B71">
        <v>3</v>
      </c>
      <c r="C71">
        <v>3</v>
      </c>
      <c r="D71">
        <v>3</v>
      </c>
      <c r="E71">
        <v>3</v>
      </c>
      <c r="F71">
        <v>4</v>
      </c>
      <c r="G71">
        <v>1</v>
      </c>
      <c r="H71">
        <v>1</v>
      </c>
      <c r="I71" s="3">
        <v>41713.5</v>
      </c>
      <c r="J71">
        <v>24</v>
      </c>
    </row>
    <row r="72" spans="1:10" x14ac:dyDescent="0.2">
      <c r="A72" t="s">
        <v>123</v>
      </c>
      <c r="B72">
        <v>2</v>
      </c>
      <c r="C72">
        <v>2</v>
      </c>
      <c r="D72">
        <v>2</v>
      </c>
      <c r="E72">
        <v>2</v>
      </c>
      <c r="F72">
        <v>2</v>
      </c>
      <c r="G72">
        <v>0</v>
      </c>
      <c r="H72">
        <v>1</v>
      </c>
      <c r="I72" s="3">
        <v>41718.5</v>
      </c>
      <c r="J72">
        <v>32</v>
      </c>
    </row>
    <row r="73" spans="1:10" x14ac:dyDescent="0.2">
      <c r="A73" t="s">
        <v>29</v>
      </c>
      <c r="B73">
        <v>13</v>
      </c>
      <c r="C73">
        <v>24</v>
      </c>
      <c r="D73">
        <v>45</v>
      </c>
      <c r="E73">
        <v>18</v>
      </c>
      <c r="F73">
        <v>20</v>
      </c>
      <c r="G73">
        <v>2</v>
      </c>
      <c r="H73">
        <v>1</v>
      </c>
      <c r="I73" s="3">
        <v>41726.5</v>
      </c>
      <c r="J73">
        <v>30</v>
      </c>
    </row>
    <row r="74" spans="1:10" x14ac:dyDescent="0.2">
      <c r="A74" t="s">
        <v>26</v>
      </c>
      <c r="B74">
        <v>15</v>
      </c>
      <c r="C74">
        <v>15</v>
      </c>
      <c r="D74">
        <v>25</v>
      </c>
      <c r="E74">
        <v>25</v>
      </c>
      <c r="F74">
        <v>25</v>
      </c>
      <c r="G74">
        <v>0</v>
      </c>
      <c r="H74">
        <v>1</v>
      </c>
      <c r="I74" s="3">
        <v>41688.5</v>
      </c>
      <c r="J74">
        <v>19</v>
      </c>
    </row>
    <row r="75" spans="1:10" x14ac:dyDescent="0.2">
      <c r="A75" t="s">
        <v>143</v>
      </c>
      <c r="B75">
        <v>1</v>
      </c>
      <c r="C75">
        <v>1</v>
      </c>
      <c r="D75">
        <v>1</v>
      </c>
      <c r="E75">
        <v>0</v>
      </c>
      <c r="F75">
        <v>1</v>
      </c>
      <c r="G75">
        <v>1</v>
      </c>
      <c r="H75">
        <v>1</v>
      </c>
      <c r="I75" s="3">
        <v>41750.5</v>
      </c>
      <c r="J75">
        <v>21</v>
      </c>
    </row>
    <row r="76" spans="1:10" x14ac:dyDescent="0.2">
      <c r="A76" t="s">
        <v>23</v>
      </c>
      <c r="B76">
        <v>17</v>
      </c>
      <c r="C76">
        <v>21</v>
      </c>
      <c r="D76">
        <v>22</v>
      </c>
      <c r="E76">
        <v>21</v>
      </c>
      <c r="F76">
        <v>26</v>
      </c>
      <c r="G76">
        <v>5</v>
      </c>
      <c r="H76">
        <v>1</v>
      </c>
      <c r="I76" s="3">
        <v>41760.5</v>
      </c>
      <c r="J76">
        <v>14</v>
      </c>
    </row>
    <row r="77" spans="1:10" x14ac:dyDescent="0.2">
      <c r="A77" t="s">
        <v>53</v>
      </c>
      <c r="B77">
        <v>7</v>
      </c>
      <c r="C77">
        <v>7</v>
      </c>
      <c r="D77">
        <v>7</v>
      </c>
      <c r="E77">
        <v>7</v>
      </c>
      <c r="F77">
        <v>7</v>
      </c>
      <c r="G77">
        <v>0</v>
      </c>
      <c r="H77">
        <v>1</v>
      </c>
      <c r="I77" s="3">
        <v>41702.5</v>
      </c>
      <c r="J77">
        <v>16</v>
      </c>
    </row>
    <row r="78" spans="1:10" x14ac:dyDescent="0.2">
      <c r="A78" t="s">
        <v>54</v>
      </c>
      <c r="B78">
        <v>7</v>
      </c>
      <c r="C78">
        <v>10</v>
      </c>
      <c r="D78">
        <v>10</v>
      </c>
      <c r="E78">
        <v>10</v>
      </c>
      <c r="F78">
        <v>10</v>
      </c>
      <c r="G78">
        <v>0</v>
      </c>
      <c r="H78">
        <v>1</v>
      </c>
      <c r="I78" s="3">
        <v>41768.5</v>
      </c>
      <c r="J78">
        <v>20</v>
      </c>
    </row>
    <row r="79" spans="1:10" x14ac:dyDescent="0.2">
      <c r="A79" t="s">
        <v>47</v>
      </c>
      <c r="B79">
        <v>7</v>
      </c>
      <c r="C79">
        <v>7</v>
      </c>
      <c r="D79">
        <v>7</v>
      </c>
      <c r="E79">
        <v>6</v>
      </c>
      <c r="F79">
        <v>7</v>
      </c>
      <c r="G79">
        <v>1</v>
      </c>
      <c r="H79">
        <v>1</v>
      </c>
      <c r="I79" s="3">
        <v>41721.5</v>
      </c>
      <c r="J79">
        <v>1</v>
      </c>
    </row>
    <row r="80" spans="1:10" x14ac:dyDescent="0.2">
      <c r="A80" t="s">
        <v>35</v>
      </c>
      <c r="B80">
        <v>10</v>
      </c>
      <c r="C80">
        <v>11</v>
      </c>
      <c r="D80">
        <v>11</v>
      </c>
      <c r="E80">
        <v>10</v>
      </c>
      <c r="F80">
        <v>10</v>
      </c>
      <c r="G80">
        <v>0</v>
      </c>
      <c r="H80">
        <v>1</v>
      </c>
      <c r="I80" s="3">
        <v>41705.5</v>
      </c>
      <c r="J80">
        <v>14</v>
      </c>
    </row>
    <row r="81" spans="1:10" x14ac:dyDescent="0.2">
      <c r="A81" t="s">
        <v>10</v>
      </c>
      <c r="B81">
        <v>28</v>
      </c>
      <c r="C81">
        <v>28</v>
      </c>
      <c r="D81">
        <v>28</v>
      </c>
      <c r="E81">
        <v>28</v>
      </c>
      <c r="F81">
        <v>29</v>
      </c>
      <c r="G81">
        <v>1</v>
      </c>
      <c r="H81">
        <v>1</v>
      </c>
      <c r="I81" s="3">
        <v>41699.5</v>
      </c>
      <c r="J81">
        <v>58</v>
      </c>
    </row>
    <row r="82" spans="1:10" x14ac:dyDescent="0.2">
      <c r="A82" t="s">
        <v>147</v>
      </c>
      <c r="B82">
        <v>1</v>
      </c>
      <c r="C82">
        <v>1</v>
      </c>
      <c r="D82">
        <v>2</v>
      </c>
      <c r="E82">
        <v>1</v>
      </c>
      <c r="F82">
        <v>1</v>
      </c>
      <c r="G82">
        <v>0</v>
      </c>
      <c r="H82">
        <v>1</v>
      </c>
      <c r="I82" s="3">
        <v>41751.5</v>
      </c>
      <c r="J82">
        <v>16</v>
      </c>
    </row>
    <row r="83" spans="1:10" x14ac:dyDescent="0.2">
      <c r="A83" t="s">
        <v>132</v>
      </c>
      <c r="B83">
        <v>1</v>
      </c>
      <c r="C83">
        <v>1</v>
      </c>
      <c r="D83">
        <v>1</v>
      </c>
      <c r="E83">
        <v>1</v>
      </c>
      <c r="F83">
        <v>1</v>
      </c>
      <c r="G83">
        <v>0</v>
      </c>
      <c r="H83">
        <v>1</v>
      </c>
      <c r="I83" s="3">
        <v>41738.5</v>
      </c>
      <c r="J83">
        <v>24</v>
      </c>
    </row>
    <row r="84" spans="1:10" x14ac:dyDescent="0.2">
      <c r="A84" t="s">
        <v>90</v>
      </c>
      <c r="B84">
        <v>3</v>
      </c>
      <c r="C84">
        <v>3</v>
      </c>
      <c r="D84">
        <v>3</v>
      </c>
      <c r="E84">
        <v>3</v>
      </c>
      <c r="F84">
        <v>4</v>
      </c>
      <c r="G84">
        <v>1</v>
      </c>
      <c r="H84">
        <v>0</v>
      </c>
      <c r="I84" s="3"/>
      <c r="J84">
        <v>22</v>
      </c>
    </row>
    <row r="85" spans="1:10" x14ac:dyDescent="0.2">
      <c r="A85" t="s">
        <v>28</v>
      </c>
      <c r="B85">
        <v>14</v>
      </c>
      <c r="C85">
        <v>14</v>
      </c>
      <c r="D85">
        <v>18</v>
      </c>
      <c r="E85">
        <v>15</v>
      </c>
      <c r="F85">
        <v>18</v>
      </c>
      <c r="G85">
        <v>3</v>
      </c>
      <c r="H85">
        <v>0</v>
      </c>
      <c r="I85" s="3"/>
      <c r="J85">
        <v>42</v>
      </c>
    </row>
    <row r="86" spans="1:10" x14ac:dyDescent="0.2">
      <c r="A86" t="s">
        <v>87</v>
      </c>
      <c r="B86">
        <v>4</v>
      </c>
      <c r="C86">
        <v>5</v>
      </c>
      <c r="D86">
        <v>5</v>
      </c>
      <c r="E86">
        <v>5</v>
      </c>
      <c r="F86">
        <v>6</v>
      </c>
      <c r="G86">
        <v>1</v>
      </c>
      <c r="H86">
        <v>0</v>
      </c>
      <c r="I86" s="3"/>
      <c r="J86">
        <v>15</v>
      </c>
    </row>
    <row r="87" spans="1:10" x14ac:dyDescent="0.2">
      <c r="A87" t="s">
        <v>141</v>
      </c>
      <c r="B87">
        <v>1</v>
      </c>
      <c r="C87">
        <v>1</v>
      </c>
      <c r="D87">
        <v>1</v>
      </c>
      <c r="E87">
        <v>0</v>
      </c>
      <c r="F87">
        <v>0</v>
      </c>
      <c r="G87">
        <v>0</v>
      </c>
      <c r="H87">
        <v>0</v>
      </c>
      <c r="I87" s="3"/>
      <c r="J87">
        <v>12</v>
      </c>
    </row>
    <row r="88" spans="1:10" x14ac:dyDescent="0.2">
      <c r="A88" t="s">
        <v>43</v>
      </c>
      <c r="B88">
        <v>9</v>
      </c>
      <c r="C88">
        <v>10</v>
      </c>
      <c r="D88">
        <v>20</v>
      </c>
      <c r="E88">
        <v>19</v>
      </c>
      <c r="F88">
        <v>21</v>
      </c>
      <c r="G88">
        <v>2</v>
      </c>
      <c r="H88">
        <v>0</v>
      </c>
      <c r="I88" s="3"/>
      <c r="J88">
        <v>18</v>
      </c>
    </row>
    <row r="89" spans="1:10" x14ac:dyDescent="0.2">
      <c r="A89" t="s">
        <v>67</v>
      </c>
      <c r="B89">
        <v>6</v>
      </c>
      <c r="C89">
        <v>8</v>
      </c>
      <c r="D89">
        <v>15</v>
      </c>
      <c r="E89">
        <v>6</v>
      </c>
      <c r="F89">
        <v>9</v>
      </c>
      <c r="G89">
        <v>3</v>
      </c>
      <c r="H89">
        <v>0</v>
      </c>
      <c r="I89" s="3"/>
      <c r="J89">
        <v>11</v>
      </c>
    </row>
    <row r="90" spans="1:10" x14ac:dyDescent="0.2">
      <c r="A90" t="s">
        <v>159</v>
      </c>
      <c r="B90">
        <v>1</v>
      </c>
      <c r="C90">
        <v>1</v>
      </c>
      <c r="D90">
        <v>1</v>
      </c>
      <c r="E90">
        <v>1</v>
      </c>
      <c r="F90">
        <v>1</v>
      </c>
      <c r="G90">
        <v>0</v>
      </c>
      <c r="H90">
        <v>0</v>
      </c>
      <c r="I90" s="3"/>
      <c r="J90">
        <v>11</v>
      </c>
    </row>
    <row r="91" spans="1:10" x14ac:dyDescent="0.2">
      <c r="A91" t="s">
        <v>125</v>
      </c>
      <c r="B91">
        <v>2</v>
      </c>
      <c r="C91">
        <v>2</v>
      </c>
      <c r="D91">
        <v>2</v>
      </c>
      <c r="E91">
        <v>2</v>
      </c>
      <c r="F91">
        <v>2</v>
      </c>
      <c r="G91">
        <v>0</v>
      </c>
      <c r="H91">
        <v>0</v>
      </c>
      <c r="I91" s="3"/>
      <c r="J91">
        <v>11</v>
      </c>
    </row>
    <row r="92" spans="1:10" x14ac:dyDescent="0.2">
      <c r="A92" t="s">
        <v>39</v>
      </c>
      <c r="B92">
        <v>9</v>
      </c>
      <c r="C92">
        <v>11</v>
      </c>
      <c r="D92">
        <v>9</v>
      </c>
      <c r="E92">
        <v>6</v>
      </c>
      <c r="F92">
        <v>9</v>
      </c>
      <c r="G92">
        <v>3</v>
      </c>
      <c r="H92">
        <v>0</v>
      </c>
      <c r="I92" s="3"/>
      <c r="J92">
        <v>41</v>
      </c>
    </row>
    <row r="93" spans="1:10" x14ac:dyDescent="0.2">
      <c r="A93" t="s">
        <v>126</v>
      </c>
      <c r="B93">
        <v>2</v>
      </c>
      <c r="C93">
        <v>2</v>
      </c>
      <c r="D93">
        <v>3</v>
      </c>
      <c r="E93">
        <v>0</v>
      </c>
      <c r="F93">
        <v>2</v>
      </c>
      <c r="G93">
        <v>2</v>
      </c>
      <c r="H93">
        <v>0</v>
      </c>
      <c r="I93" s="3"/>
      <c r="J93">
        <v>10</v>
      </c>
    </row>
    <row r="94" spans="1:10" x14ac:dyDescent="0.2">
      <c r="A94" t="s">
        <v>122</v>
      </c>
      <c r="B94">
        <v>2</v>
      </c>
      <c r="C94">
        <v>2</v>
      </c>
      <c r="D94">
        <v>2</v>
      </c>
      <c r="E94">
        <v>2</v>
      </c>
      <c r="F94">
        <v>2</v>
      </c>
      <c r="G94">
        <v>0</v>
      </c>
      <c r="H94">
        <v>0</v>
      </c>
      <c r="I94" s="3"/>
      <c r="J94">
        <v>9</v>
      </c>
    </row>
    <row r="95" spans="1:10" x14ac:dyDescent="0.2">
      <c r="A95" t="s">
        <v>124</v>
      </c>
      <c r="B95">
        <v>2</v>
      </c>
      <c r="C95">
        <v>2</v>
      </c>
      <c r="D95">
        <v>2</v>
      </c>
      <c r="E95">
        <v>2</v>
      </c>
      <c r="F95">
        <v>2</v>
      </c>
      <c r="G95">
        <v>0</v>
      </c>
      <c r="H95">
        <v>0</v>
      </c>
      <c r="I95" s="3"/>
      <c r="J95">
        <v>10</v>
      </c>
    </row>
    <row r="96" spans="1:10" x14ac:dyDescent="0.2">
      <c r="A96" t="s">
        <v>100</v>
      </c>
      <c r="B96">
        <v>3</v>
      </c>
      <c r="C96">
        <v>3</v>
      </c>
      <c r="D96">
        <v>4</v>
      </c>
      <c r="E96">
        <v>3</v>
      </c>
      <c r="F96">
        <v>3</v>
      </c>
      <c r="G96">
        <v>0</v>
      </c>
      <c r="H96">
        <v>0</v>
      </c>
      <c r="I96" s="3"/>
      <c r="J96">
        <v>12</v>
      </c>
    </row>
    <row r="97" spans="1:10" x14ac:dyDescent="0.2">
      <c r="A97" t="s">
        <v>92</v>
      </c>
      <c r="B97">
        <v>3</v>
      </c>
      <c r="C97">
        <v>3</v>
      </c>
      <c r="D97">
        <v>9</v>
      </c>
      <c r="E97">
        <v>7</v>
      </c>
      <c r="F97">
        <v>9</v>
      </c>
      <c r="G97">
        <v>2</v>
      </c>
      <c r="H97">
        <v>0</v>
      </c>
      <c r="I97" s="3"/>
      <c r="J97">
        <v>17</v>
      </c>
    </row>
    <row r="98" spans="1:10" x14ac:dyDescent="0.2">
      <c r="A98" t="s">
        <v>131</v>
      </c>
      <c r="B98">
        <v>1</v>
      </c>
      <c r="C98">
        <v>1</v>
      </c>
      <c r="D98">
        <v>1</v>
      </c>
      <c r="E98">
        <v>0</v>
      </c>
      <c r="F98">
        <v>2</v>
      </c>
      <c r="G98">
        <v>2</v>
      </c>
      <c r="H98">
        <v>0</v>
      </c>
      <c r="I98" s="3"/>
      <c r="J98">
        <v>11</v>
      </c>
    </row>
    <row r="99" spans="1:10" x14ac:dyDescent="0.2">
      <c r="A99" t="s">
        <v>97</v>
      </c>
      <c r="B99">
        <v>3</v>
      </c>
      <c r="C99">
        <v>3</v>
      </c>
      <c r="D99">
        <v>3</v>
      </c>
      <c r="E99">
        <v>3</v>
      </c>
      <c r="F99">
        <v>7</v>
      </c>
      <c r="G99">
        <v>4</v>
      </c>
      <c r="H99">
        <v>0</v>
      </c>
      <c r="I99" s="3"/>
      <c r="J99">
        <v>6</v>
      </c>
    </row>
    <row r="100" spans="1:10" x14ac:dyDescent="0.2">
      <c r="A100" t="s">
        <v>80</v>
      </c>
      <c r="B100">
        <v>4</v>
      </c>
      <c r="C100">
        <v>4</v>
      </c>
      <c r="D100">
        <v>4</v>
      </c>
      <c r="E100">
        <v>3</v>
      </c>
      <c r="F100">
        <v>7</v>
      </c>
      <c r="G100">
        <v>4</v>
      </c>
      <c r="H100">
        <v>0</v>
      </c>
      <c r="I100" s="3"/>
      <c r="J100">
        <v>17</v>
      </c>
    </row>
    <row r="101" spans="1:10" x14ac:dyDescent="0.2">
      <c r="A101" t="s">
        <v>33</v>
      </c>
      <c r="B101">
        <v>11</v>
      </c>
      <c r="C101">
        <v>15</v>
      </c>
      <c r="D101">
        <v>16</v>
      </c>
      <c r="E101">
        <v>12</v>
      </c>
      <c r="F101">
        <v>15</v>
      </c>
      <c r="G101">
        <v>3</v>
      </c>
      <c r="H101">
        <v>0</v>
      </c>
      <c r="I101" s="3"/>
      <c r="J101">
        <v>8</v>
      </c>
    </row>
    <row r="102" spans="1:10" x14ac:dyDescent="0.2">
      <c r="A102" t="s">
        <v>129</v>
      </c>
      <c r="B102">
        <v>1</v>
      </c>
      <c r="C102">
        <v>1</v>
      </c>
      <c r="D102">
        <v>1</v>
      </c>
      <c r="E102">
        <v>1</v>
      </c>
      <c r="F102">
        <v>1</v>
      </c>
      <c r="G102">
        <v>0</v>
      </c>
      <c r="H102">
        <v>0</v>
      </c>
      <c r="I102" s="3"/>
      <c r="J102">
        <v>21</v>
      </c>
    </row>
    <row r="103" spans="1:10" x14ac:dyDescent="0.2">
      <c r="A103" t="s">
        <v>82</v>
      </c>
      <c r="B103">
        <v>4</v>
      </c>
      <c r="C103">
        <v>4</v>
      </c>
      <c r="D103">
        <v>4</v>
      </c>
      <c r="E103">
        <v>2</v>
      </c>
      <c r="F103">
        <v>3</v>
      </c>
      <c r="G103">
        <v>1</v>
      </c>
      <c r="H103">
        <v>0</v>
      </c>
      <c r="I103" s="3"/>
      <c r="J103">
        <v>2</v>
      </c>
    </row>
    <row r="104" spans="1:10" x14ac:dyDescent="0.2">
      <c r="A104" t="s">
        <v>142</v>
      </c>
      <c r="B104">
        <v>1</v>
      </c>
      <c r="C104">
        <v>1</v>
      </c>
      <c r="D104">
        <v>1</v>
      </c>
      <c r="E104">
        <v>0</v>
      </c>
      <c r="F104">
        <v>1</v>
      </c>
      <c r="G104">
        <v>1</v>
      </c>
      <c r="H104">
        <v>0</v>
      </c>
      <c r="I104" s="3"/>
      <c r="J104">
        <v>22</v>
      </c>
    </row>
    <row r="105" spans="1:10" x14ac:dyDescent="0.2">
      <c r="A105" t="s">
        <v>16</v>
      </c>
      <c r="B105">
        <v>22</v>
      </c>
      <c r="C105">
        <v>22</v>
      </c>
      <c r="D105">
        <v>27</v>
      </c>
      <c r="E105">
        <v>24</v>
      </c>
      <c r="F105">
        <v>30</v>
      </c>
      <c r="G105">
        <v>6</v>
      </c>
      <c r="H105">
        <v>0</v>
      </c>
      <c r="I105" s="3"/>
      <c r="J105">
        <v>30</v>
      </c>
    </row>
    <row r="106" spans="1:10" x14ac:dyDescent="0.2">
      <c r="A106" t="s">
        <v>137</v>
      </c>
      <c r="B106">
        <v>1</v>
      </c>
      <c r="C106">
        <v>1</v>
      </c>
      <c r="D106">
        <v>1</v>
      </c>
      <c r="E106">
        <v>1</v>
      </c>
      <c r="F106">
        <v>1</v>
      </c>
      <c r="G106">
        <v>0</v>
      </c>
      <c r="H106">
        <v>0</v>
      </c>
      <c r="I106" s="3"/>
      <c r="J106">
        <v>9</v>
      </c>
    </row>
    <row r="107" spans="1:10" x14ac:dyDescent="0.2">
      <c r="A107" t="s">
        <v>158</v>
      </c>
      <c r="B107">
        <v>1</v>
      </c>
      <c r="C107">
        <v>1</v>
      </c>
      <c r="D107">
        <v>1</v>
      </c>
      <c r="E107">
        <v>1</v>
      </c>
      <c r="F107">
        <v>1</v>
      </c>
      <c r="G107">
        <v>0</v>
      </c>
      <c r="H107">
        <v>0</v>
      </c>
      <c r="I107" s="3"/>
      <c r="J107">
        <v>6</v>
      </c>
    </row>
    <row r="108" spans="1:10" x14ac:dyDescent="0.2">
      <c r="A108" t="s">
        <v>22</v>
      </c>
      <c r="B108">
        <v>18</v>
      </c>
      <c r="C108">
        <v>19</v>
      </c>
      <c r="D108">
        <v>24</v>
      </c>
      <c r="E108">
        <v>15</v>
      </c>
      <c r="F108">
        <v>21</v>
      </c>
      <c r="G108">
        <v>6</v>
      </c>
      <c r="H108">
        <v>0</v>
      </c>
      <c r="I108" s="3"/>
      <c r="J108">
        <v>9</v>
      </c>
    </row>
    <row r="109" spans="1:10" x14ac:dyDescent="0.2">
      <c r="A109" t="s">
        <v>78</v>
      </c>
      <c r="B109">
        <v>5</v>
      </c>
      <c r="C109">
        <v>6</v>
      </c>
      <c r="D109">
        <v>5</v>
      </c>
      <c r="E109">
        <v>5</v>
      </c>
      <c r="F109">
        <v>9</v>
      </c>
      <c r="G109">
        <v>4</v>
      </c>
      <c r="H109">
        <v>0</v>
      </c>
      <c r="I109" s="3"/>
      <c r="J109">
        <v>42</v>
      </c>
    </row>
    <row r="110" spans="1:10" x14ac:dyDescent="0.2">
      <c r="A110" t="s">
        <v>76</v>
      </c>
      <c r="B110">
        <v>5</v>
      </c>
      <c r="C110">
        <v>6</v>
      </c>
      <c r="D110">
        <v>6</v>
      </c>
      <c r="E110">
        <v>5</v>
      </c>
      <c r="F110">
        <v>6</v>
      </c>
      <c r="G110">
        <v>1</v>
      </c>
      <c r="H110">
        <v>0</v>
      </c>
      <c r="I110" s="3"/>
      <c r="J110">
        <v>11</v>
      </c>
    </row>
    <row r="111" spans="1:10" x14ac:dyDescent="0.2">
      <c r="A111" t="s">
        <v>136</v>
      </c>
      <c r="B111">
        <v>1</v>
      </c>
      <c r="C111">
        <v>1</v>
      </c>
      <c r="D111">
        <v>1</v>
      </c>
      <c r="E111">
        <v>1</v>
      </c>
      <c r="F111">
        <v>1</v>
      </c>
      <c r="G111">
        <v>0</v>
      </c>
      <c r="H111">
        <v>0</v>
      </c>
      <c r="I111" s="3"/>
      <c r="J111">
        <v>12</v>
      </c>
    </row>
    <row r="112" spans="1:10" x14ac:dyDescent="0.2">
      <c r="A112" t="s">
        <v>98</v>
      </c>
      <c r="B112">
        <v>3</v>
      </c>
      <c r="C112">
        <v>3</v>
      </c>
      <c r="D112">
        <v>3</v>
      </c>
      <c r="E112">
        <v>3</v>
      </c>
      <c r="F112">
        <v>4</v>
      </c>
      <c r="G112">
        <v>1</v>
      </c>
      <c r="H112">
        <v>0</v>
      </c>
      <c r="I112" s="3"/>
      <c r="J112">
        <v>10</v>
      </c>
    </row>
    <row r="113" spans="1:10" x14ac:dyDescent="0.2">
      <c r="A113" t="s">
        <v>41</v>
      </c>
      <c r="B113">
        <v>9</v>
      </c>
      <c r="C113">
        <v>13</v>
      </c>
      <c r="D113">
        <v>22</v>
      </c>
      <c r="E113">
        <v>8</v>
      </c>
      <c r="F113">
        <v>16</v>
      </c>
      <c r="G113">
        <v>8</v>
      </c>
      <c r="H113">
        <v>0</v>
      </c>
      <c r="I113" s="3"/>
      <c r="J113">
        <v>8</v>
      </c>
    </row>
    <row r="114" spans="1:10" x14ac:dyDescent="0.2">
      <c r="A114" t="s">
        <v>64</v>
      </c>
      <c r="B114">
        <v>6</v>
      </c>
      <c r="C114">
        <v>8</v>
      </c>
      <c r="D114">
        <v>7</v>
      </c>
      <c r="E114">
        <v>3</v>
      </c>
      <c r="F114">
        <v>5</v>
      </c>
      <c r="G114">
        <v>2</v>
      </c>
      <c r="H114">
        <v>0</v>
      </c>
      <c r="I114" s="3"/>
      <c r="J114">
        <v>9</v>
      </c>
    </row>
    <row r="115" spans="1:10" x14ac:dyDescent="0.2">
      <c r="A115" t="s">
        <v>19</v>
      </c>
      <c r="B115">
        <v>20</v>
      </c>
      <c r="C115">
        <v>21</v>
      </c>
      <c r="D115">
        <v>38</v>
      </c>
      <c r="E115">
        <v>18</v>
      </c>
      <c r="F115">
        <v>26</v>
      </c>
      <c r="G115">
        <v>8</v>
      </c>
      <c r="H115">
        <v>0</v>
      </c>
      <c r="I115" s="3"/>
      <c r="J115">
        <v>10</v>
      </c>
    </row>
    <row r="116" spans="1:10" x14ac:dyDescent="0.2">
      <c r="A116" t="s">
        <v>121</v>
      </c>
      <c r="B116">
        <v>2</v>
      </c>
      <c r="C116">
        <v>2</v>
      </c>
      <c r="D116">
        <v>2</v>
      </c>
      <c r="E116">
        <v>2</v>
      </c>
      <c r="F116">
        <v>3</v>
      </c>
      <c r="G116">
        <v>1</v>
      </c>
      <c r="H116">
        <v>0</v>
      </c>
      <c r="I116" s="3"/>
      <c r="J116">
        <v>103</v>
      </c>
    </row>
    <row r="117" spans="1:10" x14ac:dyDescent="0.2">
      <c r="A117" t="s">
        <v>109</v>
      </c>
      <c r="B117">
        <v>2</v>
      </c>
      <c r="C117">
        <v>2</v>
      </c>
      <c r="D117">
        <v>1</v>
      </c>
      <c r="E117">
        <v>0</v>
      </c>
      <c r="F117">
        <v>1</v>
      </c>
      <c r="G117">
        <v>1</v>
      </c>
      <c r="H117">
        <v>0</v>
      </c>
      <c r="I117" s="3"/>
      <c r="J117">
        <v>21</v>
      </c>
    </row>
    <row r="118" spans="1:10" x14ac:dyDescent="0.2">
      <c r="A118" t="s">
        <v>7</v>
      </c>
      <c r="B118">
        <v>92</v>
      </c>
      <c r="C118">
        <v>105</v>
      </c>
      <c r="D118">
        <v>122</v>
      </c>
      <c r="E118">
        <v>64</v>
      </c>
      <c r="F118">
        <v>78</v>
      </c>
      <c r="G118">
        <v>14</v>
      </c>
      <c r="H118">
        <v>0</v>
      </c>
      <c r="I118" s="3"/>
      <c r="J118">
        <v>0</v>
      </c>
    </row>
    <row r="119" spans="1:10" x14ac:dyDescent="0.2">
      <c r="A119" t="s">
        <v>120</v>
      </c>
      <c r="B119">
        <v>2</v>
      </c>
      <c r="C119">
        <v>2</v>
      </c>
      <c r="D119">
        <v>2</v>
      </c>
      <c r="E119">
        <v>2</v>
      </c>
      <c r="F119">
        <v>3</v>
      </c>
      <c r="G119">
        <v>1</v>
      </c>
      <c r="H119">
        <v>0</v>
      </c>
      <c r="I119" s="3"/>
      <c r="J119">
        <v>15</v>
      </c>
    </row>
    <row r="120" spans="1:10" x14ac:dyDescent="0.2">
      <c r="A120" t="s">
        <v>70</v>
      </c>
      <c r="B120">
        <v>5</v>
      </c>
      <c r="C120">
        <v>5</v>
      </c>
      <c r="D120">
        <v>5</v>
      </c>
      <c r="E120">
        <v>3</v>
      </c>
      <c r="F120">
        <v>5</v>
      </c>
      <c r="G120">
        <v>2</v>
      </c>
      <c r="H120">
        <v>0</v>
      </c>
      <c r="I120" s="3"/>
      <c r="J120">
        <v>6</v>
      </c>
    </row>
    <row r="121" spans="1:10" x14ac:dyDescent="0.2">
      <c r="A121" t="s">
        <v>56</v>
      </c>
      <c r="B121">
        <v>7</v>
      </c>
      <c r="C121">
        <v>7</v>
      </c>
      <c r="D121">
        <v>8</v>
      </c>
      <c r="E121">
        <v>5</v>
      </c>
      <c r="F121">
        <v>6</v>
      </c>
      <c r="G121">
        <v>1</v>
      </c>
      <c r="H121">
        <v>0</v>
      </c>
      <c r="I121" s="3"/>
      <c r="J121">
        <v>14</v>
      </c>
    </row>
    <row r="122" spans="1:10" x14ac:dyDescent="0.2">
      <c r="A122" t="s">
        <v>74</v>
      </c>
      <c r="B122">
        <v>5</v>
      </c>
      <c r="C122">
        <v>6</v>
      </c>
      <c r="D122">
        <v>8</v>
      </c>
      <c r="E122">
        <v>4</v>
      </c>
      <c r="F122">
        <v>5</v>
      </c>
      <c r="G122">
        <v>1</v>
      </c>
      <c r="H122">
        <v>0</v>
      </c>
      <c r="I122" s="3"/>
      <c r="J122">
        <v>12</v>
      </c>
    </row>
    <row r="123" spans="1:10" x14ac:dyDescent="0.2">
      <c r="A123" t="s">
        <v>38</v>
      </c>
      <c r="B123">
        <v>9</v>
      </c>
      <c r="C123">
        <v>10</v>
      </c>
      <c r="D123">
        <v>12</v>
      </c>
      <c r="E123">
        <v>11</v>
      </c>
      <c r="F123">
        <v>18</v>
      </c>
      <c r="G123">
        <v>7</v>
      </c>
      <c r="H123">
        <v>0</v>
      </c>
      <c r="I123" s="3"/>
      <c r="J123">
        <v>12</v>
      </c>
    </row>
    <row r="124" spans="1:10" x14ac:dyDescent="0.2">
      <c r="A124" t="s">
        <v>113</v>
      </c>
      <c r="B124">
        <v>2</v>
      </c>
      <c r="C124">
        <v>2</v>
      </c>
      <c r="D124">
        <v>3</v>
      </c>
      <c r="E124">
        <v>2</v>
      </c>
      <c r="F124">
        <v>3</v>
      </c>
      <c r="G124">
        <v>1</v>
      </c>
      <c r="H124">
        <v>0</v>
      </c>
      <c r="I124" s="3"/>
      <c r="J124">
        <v>6</v>
      </c>
    </row>
    <row r="125" spans="1:10" x14ac:dyDescent="0.2">
      <c r="A125" t="s">
        <v>63</v>
      </c>
      <c r="B125">
        <v>6</v>
      </c>
      <c r="C125">
        <v>9</v>
      </c>
      <c r="D125">
        <v>8</v>
      </c>
      <c r="E125">
        <v>4</v>
      </c>
      <c r="F125">
        <v>5</v>
      </c>
      <c r="G125">
        <v>1</v>
      </c>
      <c r="H125">
        <v>0</v>
      </c>
      <c r="I125" s="3"/>
      <c r="J125">
        <v>33</v>
      </c>
    </row>
    <row r="126" spans="1:10" x14ac:dyDescent="0.2">
      <c r="A126" t="s">
        <v>68</v>
      </c>
      <c r="B126">
        <v>6</v>
      </c>
      <c r="C126">
        <v>7</v>
      </c>
      <c r="D126">
        <v>9</v>
      </c>
      <c r="E126">
        <v>9</v>
      </c>
      <c r="F126">
        <v>11</v>
      </c>
      <c r="G126">
        <v>2</v>
      </c>
      <c r="H126">
        <v>0</v>
      </c>
      <c r="I126" s="3"/>
      <c r="J126">
        <v>101</v>
      </c>
    </row>
    <row r="127" spans="1:10" x14ac:dyDescent="0.2">
      <c r="A127" t="s">
        <v>89</v>
      </c>
      <c r="B127">
        <v>3</v>
      </c>
      <c r="C127">
        <v>3</v>
      </c>
      <c r="D127">
        <v>3</v>
      </c>
      <c r="E127">
        <v>3</v>
      </c>
      <c r="F127">
        <v>3</v>
      </c>
      <c r="G127">
        <v>0</v>
      </c>
      <c r="H127">
        <v>0</v>
      </c>
      <c r="I127" s="3"/>
      <c r="J127">
        <v>3</v>
      </c>
    </row>
    <row r="128" spans="1:10" x14ac:dyDescent="0.2">
      <c r="A128" t="s">
        <v>119</v>
      </c>
      <c r="B128">
        <v>2</v>
      </c>
      <c r="C128">
        <v>2</v>
      </c>
      <c r="D128">
        <v>2</v>
      </c>
      <c r="E128">
        <v>2</v>
      </c>
      <c r="F128">
        <v>3</v>
      </c>
      <c r="G128">
        <v>0</v>
      </c>
      <c r="H128">
        <v>0</v>
      </c>
      <c r="I128" s="3"/>
      <c r="J128">
        <v>127</v>
      </c>
    </row>
    <row r="129" spans="1:10" x14ac:dyDescent="0.2">
      <c r="A129" t="s">
        <v>65</v>
      </c>
      <c r="B129">
        <v>6</v>
      </c>
      <c r="C129">
        <v>8</v>
      </c>
      <c r="D129">
        <v>12</v>
      </c>
      <c r="E129">
        <v>10</v>
      </c>
      <c r="F129">
        <v>13</v>
      </c>
      <c r="G129">
        <v>3</v>
      </c>
      <c r="H129">
        <v>0</v>
      </c>
      <c r="I129" s="3"/>
      <c r="J129">
        <v>17</v>
      </c>
    </row>
    <row r="130" spans="1:10" x14ac:dyDescent="0.2">
      <c r="A130" t="s">
        <v>151</v>
      </c>
      <c r="B130">
        <v>1</v>
      </c>
      <c r="C130">
        <v>1</v>
      </c>
      <c r="D130">
        <v>1</v>
      </c>
      <c r="E130">
        <v>1</v>
      </c>
      <c r="F130">
        <v>3</v>
      </c>
      <c r="G130">
        <v>2</v>
      </c>
      <c r="H130">
        <v>0</v>
      </c>
      <c r="I130" s="3"/>
      <c r="J130">
        <v>9</v>
      </c>
    </row>
    <row r="131" spans="1:10" x14ac:dyDescent="0.2">
      <c r="A131" t="s">
        <v>128</v>
      </c>
      <c r="B131">
        <v>2</v>
      </c>
      <c r="C131">
        <v>2</v>
      </c>
      <c r="D131">
        <v>2</v>
      </c>
      <c r="E131">
        <v>2</v>
      </c>
      <c r="F131">
        <v>3</v>
      </c>
      <c r="G131">
        <v>1</v>
      </c>
      <c r="H131">
        <v>0</v>
      </c>
      <c r="I131" s="3"/>
      <c r="J131">
        <v>3</v>
      </c>
    </row>
    <row r="132" spans="1:10" x14ac:dyDescent="0.2">
      <c r="A132" t="s">
        <v>115</v>
      </c>
      <c r="B132">
        <v>2</v>
      </c>
      <c r="C132">
        <v>4</v>
      </c>
      <c r="D132">
        <v>16</v>
      </c>
      <c r="E132">
        <v>7</v>
      </c>
      <c r="F132">
        <v>12</v>
      </c>
      <c r="G132">
        <v>5</v>
      </c>
      <c r="H132">
        <v>0</v>
      </c>
      <c r="I132" s="3"/>
      <c r="J132">
        <v>15</v>
      </c>
    </row>
    <row r="133" spans="1:10" x14ac:dyDescent="0.2">
      <c r="A133" t="s">
        <v>48</v>
      </c>
      <c r="B133">
        <v>7</v>
      </c>
      <c r="C133">
        <v>7</v>
      </c>
      <c r="D133">
        <v>7</v>
      </c>
      <c r="E133">
        <v>7</v>
      </c>
      <c r="F133">
        <v>8</v>
      </c>
      <c r="G133">
        <v>1</v>
      </c>
      <c r="H133">
        <v>0</v>
      </c>
      <c r="I133" s="3"/>
      <c r="J133">
        <v>15</v>
      </c>
    </row>
    <row r="134" spans="1:10" x14ac:dyDescent="0.2">
      <c r="A134" t="s">
        <v>86</v>
      </c>
      <c r="B134">
        <v>4</v>
      </c>
      <c r="C134">
        <v>5</v>
      </c>
      <c r="D134">
        <v>5</v>
      </c>
      <c r="E134">
        <v>5</v>
      </c>
      <c r="F134">
        <v>7</v>
      </c>
      <c r="G134">
        <v>2</v>
      </c>
      <c r="H134">
        <v>0</v>
      </c>
      <c r="I134" s="3"/>
      <c r="J134">
        <v>15</v>
      </c>
    </row>
    <row r="135" spans="1:10" x14ac:dyDescent="0.2">
      <c r="A135" t="s">
        <v>51</v>
      </c>
      <c r="B135">
        <v>7</v>
      </c>
      <c r="C135">
        <v>10</v>
      </c>
      <c r="D135">
        <v>12</v>
      </c>
      <c r="E135">
        <v>10</v>
      </c>
      <c r="F135">
        <v>11</v>
      </c>
      <c r="G135">
        <v>1</v>
      </c>
      <c r="H135">
        <v>0</v>
      </c>
      <c r="I135" s="3"/>
      <c r="J135">
        <v>20</v>
      </c>
    </row>
    <row r="136" spans="1:10" x14ac:dyDescent="0.2">
      <c r="A136" t="s">
        <v>31</v>
      </c>
      <c r="B136">
        <v>12</v>
      </c>
      <c r="C136">
        <v>12</v>
      </c>
      <c r="D136">
        <v>15</v>
      </c>
      <c r="E136">
        <v>10</v>
      </c>
      <c r="F136">
        <v>14</v>
      </c>
      <c r="G136">
        <v>4</v>
      </c>
      <c r="H136">
        <v>0</v>
      </c>
      <c r="I136" s="3"/>
      <c r="J136">
        <v>16</v>
      </c>
    </row>
    <row r="137" spans="1:10" x14ac:dyDescent="0.2">
      <c r="A137" t="s">
        <v>71</v>
      </c>
      <c r="B137">
        <v>5</v>
      </c>
      <c r="C137">
        <v>5</v>
      </c>
      <c r="D137">
        <v>5</v>
      </c>
      <c r="E137">
        <v>4</v>
      </c>
      <c r="F137">
        <v>7</v>
      </c>
      <c r="G137">
        <v>3</v>
      </c>
      <c r="H137">
        <v>0</v>
      </c>
      <c r="I137" s="3"/>
      <c r="J137">
        <v>24</v>
      </c>
    </row>
    <row r="138" spans="1:10" x14ac:dyDescent="0.2">
      <c r="A138" t="s">
        <v>156</v>
      </c>
      <c r="B138">
        <v>1</v>
      </c>
      <c r="C138">
        <v>1</v>
      </c>
      <c r="D138">
        <v>1</v>
      </c>
      <c r="E138">
        <v>1</v>
      </c>
      <c r="F138">
        <v>2</v>
      </c>
      <c r="G138">
        <v>1</v>
      </c>
      <c r="H138">
        <v>0</v>
      </c>
      <c r="I138" s="3"/>
      <c r="J138">
        <v>7</v>
      </c>
    </row>
    <row r="139" spans="1:10" x14ac:dyDescent="0.2">
      <c r="A139" t="s">
        <v>118</v>
      </c>
      <c r="B139">
        <v>2</v>
      </c>
      <c r="C139">
        <v>2</v>
      </c>
      <c r="D139">
        <v>2</v>
      </c>
      <c r="E139">
        <v>2</v>
      </c>
      <c r="F139">
        <v>2</v>
      </c>
      <c r="G139">
        <v>0</v>
      </c>
      <c r="H139">
        <v>0</v>
      </c>
      <c r="I139" s="3"/>
      <c r="J139">
        <v>31</v>
      </c>
    </row>
    <row r="140" spans="1:10" x14ac:dyDescent="0.2">
      <c r="A140" t="s">
        <v>91</v>
      </c>
      <c r="B140">
        <v>3</v>
      </c>
      <c r="C140">
        <v>3</v>
      </c>
      <c r="D140">
        <v>7</v>
      </c>
      <c r="E140">
        <v>2</v>
      </c>
      <c r="F140">
        <v>3</v>
      </c>
      <c r="G140">
        <v>1</v>
      </c>
      <c r="H140">
        <v>0</v>
      </c>
      <c r="I140" s="3"/>
      <c r="J140">
        <v>2</v>
      </c>
    </row>
    <row r="141" spans="1:10" x14ac:dyDescent="0.2">
      <c r="A141" t="s">
        <v>153</v>
      </c>
      <c r="B141">
        <v>1</v>
      </c>
      <c r="C141">
        <v>2</v>
      </c>
      <c r="D141">
        <v>2</v>
      </c>
      <c r="E141">
        <v>0</v>
      </c>
      <c r="F141">
        <v>0</v>
      </c>
      <c r="G141">
        <v>0</v>
      </c>
      <c r="H141">
        <v>0</v>
      </c>
      <c r="I141" s="3"/>
      <c r="J141">
        <v>8</v>
      </c>
    </row>
    <row r="142" spans="1:10" x14ac:dyDescent="0.2">
      <c r="A142" t="s">
        <v>30</v>
      </c>
      <c r="B142">
        <v>13</v>
      </c>
      <c r="C142">
        <v>14</v>
      </c>
      <c r="D142">
        <v>14</v>
      </c>
      <c r="E142">
        <v>14</v>
      </c>
      <c r="F142">
        <v>21</v>
      </c>
      <c r="G142">
        <v>7</v>
      </c>
      <c r="H142">
        <v>0</v>
      </c>
      <c r="I142" s="3"/>
      <c r="J142">
        <v>25</v>
      </c>
    </row>
    <row r="143" spans="1:10" x14ac:dyDescent="0.2">
      <c r="A143" t="s">
        <v>57</v>
      </c>
      <c r="B143">
        <v>7</v>
      </c>
      <c r="C143">
        <v>7</v>
      </c>
      <c r="D143">
        <v>9</v>
      </c>
      <c r="E143">
        <v>8</v>
      </c>
      <c r="F143">
        <v>10</v>
      </c>
      <c r="G143">
        <v>2</v>
      </c>
      <c r="H143">
        <v>0</v>
      </c>
      <c r="I143" s="3"/>
      <c r="J143">
        <v>4</v>
      </c>
    </row>
    <row r="144" spans="1:10" x14ac:dyDescent="0.2">
      <c r="A144" t="s">
        <v>144</v>
      </c>
      <c r="B144">
        <v>1</v>
      </c>
      <c r="C144">
        <v>1</v>
      </c>
      <c r="D144">
        <v>1</v>
      </c>
      <c r="E144">
        <v>0</v>
      </c>
      <c r="F144">
        <v>0</v>
      </c>
      <c r="G144">
        <v>0</v>
      </c>
      <c r="H144">
        <v>0</v>
      </c>
      <c r="I144" s="3"/>
      <c r="J144">
        <v>13</v>
      </c>
    </row>
    <row r="145" spans="1:12" x14ac:dyDescent="0.2">
      <c r="A145" t="s">
        <v>83</v>
      </c>
      <c r="B145">
        <v>4</v>
      </c>
      <c r="C145">
        <v>4</v>
      </c>
      <c r="D145">
        <v>4</v>
      </c>
      <c r="E145">
        <v>0</v>
      </c>
      <c r="F145">
        <v>4</v>
      </c>
      <c r="G145">
        <v>4</v>
      </c>
      <c r="H145">
        <v>0</v>
      </c>
      <c r="I145" s="3"/>
      <c r="J145">
        <v>11</v>
      </c>
    </row>
    <row r="146" spans="1:12" x14ac:dyDescent="0.2">
      <c r="A146" t="s">
        <v>101</v>
      </c>
      <c r="B146">
        <v>3</v>
      </c>
      <c r="C146">
        <v>3</v>
      </c>
      <c r="D146">
        <v>4</v>
      </c>
      <c r="E146">
        <v>4</v>
      </c>
      <c r="F146">
        <v>4</v>
      </c>
      <c r="G146">
        <v>0</v>
      </c>
      <c r="H146">
        <v>0</v>
      </c>
      <c r="I146" s="3"/>
      <c r="J146">
        <v>20</v>
      </c>
    </row>
    <row r="147" spans="1:12" x14ac:dyDescent="0.2">
      <c r="A147" t="s">
        <v>148</v>
      </c>
      <c r="B147">
        <v>1</v>
      </c>
      <c r="C147">
        <v>1</v>
      </c>
      <c r="D147">
        <v>1</v>
      </c>
      <c r="E147">
        <v>1</v>
      </c>
      <c r="F147">
        <v>2</v>
      </c>
      <c r="G147">
        <v>1</v>
      </c>
      <c r="H147">
        <v>0</v>
      </c>
      <c r="I147" s="3"/>
      <c r="J147">
        <v>13</v>
      </c>
    </row>
    <row r="148" spans="1:12" x14ac:dyDescent="0.2">
      <c r="A148" t="s">
        <v>79</v>
      </c>
      <c r="B148">
        <v>5</v>
      </c>
      <c r="C148">
        <v>5</v>
      </c>
      <c r="D148">
        <v>6</v>
      </c>
      <c r="E148">
        <v>2</v>
      </c>
      <c r="F148">
        <v>3</v>
      </c>
      <c r="G148">
        <v>1</v>
      </c>
      <c r="H148">
        <v>0</v>
      </c>
      <c r="I148" s="3"/>
      <c r="J148">
        <v>7</v>
      </c>
    </row>
    <row r="149" spans="1:12" x14ac:dyDescent="0.2">
      <c r="A149" t="s">
        <v>102</v>
      </c>
      <c r="B149">
        <v>3</v>
      </c>
      <c r="C149">
        <v>3</v>
      </c>
      <c r="D149">
        <v>4</v>
      </c>
      <c r="E149">
        <v>3</v>
      </c>
      <c r="F149">
        <v>3</v>
      </c>
      <c r="G149">
        <v>0</v>
      </c>
      <c r="H149">
        <v>0</v>
      </c>
      <c r="I149" s="3"/>
      <c r="J149">
        <v>23</v>
      </c>
    </row>
    <row r="150" spans="1:12" x14ac:dyDescent="0.2">
      <c r="A150" t="s">
        <v>140</v>
      </c>
      <c r="B150">
        <v>1</v>
      </c>
      <c r="C150">
        <v>1</v>
      </c>
      <c r="D150">
        <v>1</v>
      </c>
      <c r="E150">
        <v>0</v>
      </c>
      <c r="F150">
        <v>1</v>
      </c>
      <c r="G150">
        <v>1</v>
      </c>
      <c r="H150">
        <v>0</v>
      </c>
      <c r="I150" s="3"/>
      <c r="J150">
        <v>8</v>
      </c>
    </row>
    <row r="151" spans="1:12" x14ac:dyDescent="0.2">
      <c r="A151" t="s">
        <v>75</v>
      </c>
      <c r="B151">
        <v>5</v>
      </c>
      <c r="C151">
        <v>5</v>
      </c>
      <c r="D151">
        <v>9</v>
      </c>
      <c r="E151">
        <v>5</v>
      </c>
      <c r="F151">
        <v>6</v>
      </c>
      <c r="G151">
        <v>1</v>
      </c>
      <c r="H151">
        <v>0</v>
      </c>
      <c r="I151" s="3"/>
      <c r="J151">
        <v>16</v>
      </c>
    </row>
    <row r="152" spans="1:12" x14ac:dyDescent="0.2">
      <c r="A152" t="s">
        <v>62</v>
      </c>
      <c r="B152">
        <v>6</v>
      </c>
      <c r="C152">
        <v>12</v>
      </c>
      <c r="D152">
        <v>14</v>
      </c>
      <c r="E152">
        <v>7</v>
      </c>
      <c r="F152">
        <v>11</v>
      </c>
      <c r="G152">
        <v>4</v>
      </c>
      <c r="H152">
        <v>0</v>
      </c>
      <c r="I152" s="3"/>
      <c r="J152">
        <v>7</v>
      </c>
    </row>
    <row r="153" spans="1:12" x14ac:dyDescent="0.2">
      <c r="A153" t="s">
        <v>55</v>
      </c>
      <c r="B153">
        <v>7</v>
      </c>
      <c r="C153">
        <v>7</v>
      </c>
      <c r="D153">
        <v>8</v>
      </c>
      <c r="E153">
        <v>8</v>
      </c>
      <c r="F153">
        <v>9</v>
      </c>
      <c r="G153">
        <v>1</v>
      </c>
      <c r="H153">
        <v>0</v>
      </c>
      <c r="I153" s="3"/>
      <c r="J153">
        <v>12</v>
      </c>
    </row>
    <row r="154" spans="1:12" x14ac:dyDescent="0.2">
      <c r="A154" t="s">
        <v>155</v>
      </c>
      <c r="B154">
        <v>1</v>
      </c>
      <c r="C154">
        <v>2</v>
      </c>
      <c r="D154">
        <v>2</v>
      </c>
      <c r="E154">
        <v>2</v>
      </c>
      <c r="F154">
        <v>5</v>
      </c>
      <c r="G154">
        <v>3</v>
      </c>
      <c r="H154">
        <v>0</v>
      </c>
      <c r="I154" s="3"/>
      <c r="J154">
        <v>2</v>
      </c>
    </row>
    <row r="155" spans="1:12" x14ac:dyDescent="0.2">
      <c r="A155" t="s">
        <v>135</v>
      </c>
      <c r="B155">
        <v>1</v>
      </c>
      <c r="C155">
        <v>1</v>
      </c>
      <c r="D155">
        <v>1</v>
      </c>
      <c r="E155">
        <v>1</v>
      </c>
      <c r="F155">
        <v>1</v>
      </c>
      <c r="G155">
        <v>0</v>
      </c>
      <c r="H155">
        <v>0</v>
      </c>
      <c r="I155" s="3"/>
      <c r="J155">
        <v>38</v>
      </c>
    </row>
    <row r="156" spans="1:12" x14ac:dyDescent="0.2">
      <c r="A156" t="s">
        <v>112</v>
      </c>
      <c r="B156">
        <v>2</v>
      </c>
      <c r="C156">
        <v>2</v>
      </c>
      <c r="D156">
        <v>4</v>
      </c>
      <c r="E156">
        <v>4</v>
      </c>
      <c r="F156">
        <v>5</v>
      </c>
      <c r="G156">
        <v>1</v>
      </c>
      <c r="H156">
        <v>0</v>
      </c>
      <c r="I156" s="3"/>
      <c r="J156">
        <v>5</v>
      </c>
    </row>
    <row r="157" spans="1:12" x14ac:dyDescent="0.2">
      <c r="A157" t="s">
        <v>27</v>
      </c>
      <c r="B157">
        <v>15</v>
      </c>
      <c r="C157">
        <v>18</v>
      </c>
      <c r="D157">
        <v>23</v>
      </c>
      <c r="E157">
        <v>18</v>
      </c>
      <c r="F157">
        <v>22</v>
      </c>
      <c r="G157">
        <v>4</v>
      </c>
      <c r="H157">
        <v>0</v>
      </c>
      <c r="I157" s="3"/>
      <c r="J157">
        <v>23</v>
      </c>
    </row>
    <row r="158" spans="1:12" x14ac:dyDescent="0.2">
      <c r="A158" t="s">
        <v>145</v>
      </c>
      <c r="B158">
        <v>1</v>
      </c>
      <c r="C158">
        <v>1</v>
      </c>
      <c r="D158">
        <v>1</v>
      </c>
      <c r="E158">
        <v>0</v>
      </c>
      <c r="F158">
        <v>0</v>
      </c>
      <c r="G158">
        <v>0</v>
      </c>
      <c r="H158">
        <v>0</v>
      </c>
      <c r="I158" s="3"/>
      <c r="J158">
        <v>12</v>
      </c>
    </row>
    <row r="159" spans="1:12" x14ac:dyDescent="0.2">
      <c r="A159" t="s">
        <v>162</v>
      </c>
      <c r="B159">
        <v>1</v>
      </c>
      <c r="C159">
        <v>1</v>
      </c>
      <c r="D159">
        <v>1</v>
      </c>
      <c r="E159">
        <v>1</v>
      </c>
      <c r="F159">
        <v>1</v>
      </c>
      <c r="G159">
        <v>0</v>
      </c>
      <c r="H159">
        <v>0</v>
      </c>
      <c r="I159" s="3"/>
      <c r="J159">
        <v>20</v>
      </c>
      <c r="L159">
        <f>STDEV(J84:J159)</f>
        <v>21.098083391792194</v>
      </c>
    </row>
  </sheetData>
  <autoFilter ref="A1:I159" xr:uid="{00000000-0009-0000-0000-000001000000}">
    <sortState ref="A2:I159">
      <sortCondition descending="1" ref="H1:H159"/>
    </sortState>
  </autoFilter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F6"/>
  <sheetViews>
    <sheetView tabSelected="1" workbookViewId="0">
      <selection activeCell="B12" sqref="B12"/>
    </sheetView>
  </sheetViews>
  <sheetFormatPr baseColWidth="10" defaultColWidth="8.83203125" defaultRowHeight="15" x14ac:dyDescent="0.2"/>
  <cols>
    <col min="1" max="4" width="20" bestFit="1" customWidth="1"/>
    <col min="5" max="5" width="24.83203125" bestFit="1" customWidth="1"/>
    <col min="6" max="6" width="22.6640625" bestFit="1" customWidth="1"/>
  </cols>
  <sheetData>
    <row r="3" spans="1:6" x14ac:dyDescent="0.2">
      <c r="A3" s="1" t="s">
        <v>166</v>
      </c>
    </row>
    <row r="4" spans="1:6" x14ac:dyDescent="0.2">
      <c r="A4">
        <v>0</v>
      </c>
      <c r="C4">
        <v>1</v>
      </c>
      <c r="E4" t="s">
        <v>168</v>
      </c>
      <c r="F4" t="s">
        <v>169</v>
      </c>
    </row>
    <row r="5" spans="1:6" x14ac:dyDescent="0.2">
      <c r="A5" t="s">
        <v>167</v>
      </c>
      <c r="B5" t="s">
        <v>170</v>
      </c>
      <c r="C5" t="s">
        <v>167</v>
      </c>
      <c r="D5" t="s">
        <v>170</v>
      </c>
    </row>
    <row r="6" spans="1:6" x14ac:dyDescent="0.2">
      <c r="A6" s="2">
        <v>450</v>
      </c>
      <c r="B6" s="2">
        <v>509</v>
      </c>
      <c r="C6" s="2">
        <v>671</v>
      </c>
      <c r="D6" s="2">
        <v>772</v>
      </c>
      <c r="E6" s="2">
        <v>1121</v>
      </c>
      <c r="F6" s="2">
        <v>1281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Sums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Leroux, Todd, LT, USN</dc:creator>
  <cp:lastModifiedBy>lauren maggio</cp:lastModifiedBy>
  <dcterms:created xsi:type="dcterms:W3CDTF">2019-09-25T18:18:57Z</dcterms:created>
  <dcterms:modified xsi:type="dcterms:W3CDTF">2019-09-25T19:24:02Z</dcterms:modified>
</cp:coreProperties>
</file>